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wners" sheetId="2" state="visible" r:id="rId4"/>
    <sheet name="Vehicles" sheetId="3" state="visible" r:id="rId5"/>
    <sheet name="Renters" sheetId="4" state="visible" r:id="rId6"/>
    <sheet name="Companies" sheetId="5" state="visible" r:id="rId7"/>
    <sheet name="Rentals" sheetId="6" state="visible" r:id="rId8"/>
    <sheet name="Maintenance" sheetId="7" state="visible" r:id="rId9"/>
    <sheet name="Owner Payments" sheetId="8" state="visible" r:id="rId10"/>
    <sheet name="Renter Receipts" sheetId="9" state="visible" r:id="rId11"/>
    <sheet name="Monthly 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<sst xmlns="http://schemas.openxmlformats.org/spreadsheetml/2006/main" count="185" uniqueCount="128">
  <si>
    <t xml:space="preserve">Car Rental Company Workbook</t>
  </si>
  <si>
    <t xml:space="preserve">Sample data in LKR and km. Replace the sample rows with your own.</t>
  </si>
  <si>
    <t xml:space="preserve">Colour legend</t>
  </si>
  <si>
    <t xml:space="preserve">Blue text = input you type (IDs, rates, days, amounts, readings).</t>
  </si>
  <si>
    <t xml:space="preserve">Black text = formula (do not type over).</t>
  </si>
  <si>
    <t xml:space="preserve">Green text = value pulled from another sheet.</t>
  </si>
  <si>
    <t xml:space="preserve">How the sheets link</t>
  </si>
  <si>
    <t xml:space="preserve">Owners -&gt; Vehicles (Owner ID) -&gt; Rentals (Vehicle No) &lt;- Renters (Renter ID).</t>
  </si>
  <si>
    <t xml:space="preserve">Maintenance feeds Vehicles (cost this month) and Owner Payments (deduction).</t>
  </si>
  <si>
    <t xml:space="preserve">Owner Payments and Renter Receipts are calculated from Rentals. You only type Amount Paid / Amount Received.</t>
  </si>
  <si>
    <t xml:space="preserve">Monthly Summary adds everything up by month.</t>
  </si>
  <si>
    <t xml:space="preserve">Adding new rows</t>
  </si>
  <si>
    <t xml:space="preserve">Insert a row ABOVE the TOTAL row, then copy the formulas from the row above.</t>
  </si>
  <si>
    <t xml:space="preserve">In Monthly Summary, type a new month in column A in the same text format, e.g. Nov 2026.</t>
  </si>
  <si>
    <t xml:space="preserve">Assumptions</t>
  </si>
  <si>
    <t xml:space="preserve">Net Pay to owner = Days x Rate Paid to Owner - Maintenance Deduction.</t>
  </si>
  <si>
    <t xml:space="preserve">Maintenance is deducted only when 'Who Bears Cost' on the Vehicles sheet is 'Owner (deducted)'; 'Company' means we absorb it.</t>
  </si>
  <si>
    <t xml:space="preserve">A vehicle with several rentals in one month would have its maintenance deducted on each rental row; keep one rental row per vehicle per month.</t>
  </si>
  <si>
    <t xml:space="preserve">Service interval (km) on Vehicles is a sample value: 5,000 for oil change, 10,000 for tyre and brake work.</t>
  </si>
  <si>
    <t xml:space="preserve">Month is stored as text like 'Oct 2026' and must match exactly across sheets.</t>
  </si>
  <si>
    <t xml:space="preserve">Owner ID</t>
  </si>
  <si>
    <t xml:space="preserve">Owner Name</t>
  </si>
  <si>
    <t xml:space="preserve">Phone</t>
  </si>
  <si>
    <t xml:space="preserve">Bank Account</t>
  </si>
  <si>
    <t xml:space="preserve">O01</t>
  </si>
  <si>
    <t xml:space="preserve">Mr. Perera</t>
  </si>
  <si>
    <t xml:space="preserve">077 111 1111</t>
  </si>
  <si>
    <t xml:space="preserve">1234567</t>
  </si>
  <si>
    <t xml:space="preserve">O02</t>
  </si>
  <si>
    <t xml:space="preserve">Mrs. Silva</t>
  </si>
  <si>
    <t xml:space="preserve">071 222 2222</t>
  </si>
  <si>
    <t xml:space="preserve">2345678</t>
  </si>
  <si>
    <t xml:space="preserve">O03</t>
  </si>
  <si>
    <t xml:space="preserve">Mr. Fernando</t>
  </si>
  <si>
    <t xml:space="preserve">070 333 3333</t>
  </si>
  <si>
    <t xml:space="preserve">3456789</t>
  </si>
  <si>
    <t xml:space="preserve">Vehicle No</t>
  </si>
  <si>
    <t xml:space="preserve">Vehicle</t>
  </si>
  <si>
    <t xml:space="preserve">Rate Paid to Owner (per day)</t>
  </si>
  <si>
    <t xml:space="preserve">Rate Charged to Renter (per day)</t>
  </si>
  <si>
    <t xml:space="preserve">Odometer Start of Month (km)</t>
  </si>
  <si>
    <t xml:space="preserve">Odometer End of Month (km)</t>
  </si>
  <si>
    <t xml:space="preserve">Mileage This Month (km)</t>
  </si>
  <si>
    <t xml:space="preserve">Total Mileage (km)</t>
  </si>
  <si>
    <t xml:space="preserve">Maintenance Type</t>
  </si>
  <si>
    <t xml:space="preserve">Last Service Date</t>
  </si>
  <si>
    <t xml:space="preserve">Mileage at Last Service (km)</t>
  </si>
  <si>
    <t xml:space="preserve">Service Interval (km)</t>
  </si>
  <si>
    <t xml:space="preserve">Maintenance Cost This Month</t>
  </si>
  <si>
    <t xml:space="preserve">Who Bears Cost</t>
  </si>
  <si>
    <t xml:space="preserve">Next Service Due (Date)</t>
  </si>
  <si>
    <t xml:space="preserve">Next Service Due (km)</t>
  </si>
  <si>
    <t xml:space="preserve">Service Status</t>
  </si>
  <si>
    <t xml:space="preserve">V001</t>
  </si>
  <si>
    <t xml:space="preserve">Toyota Axio</t>
  </si>
  <si>
    <t xml:space="preserve">Oil change</t>
  </si>
  <si>
    <t xml:space="preserve">Owner (deducted)</t>
  </si>
  <si>
    <t xml:space="preserve">V002</t>
  </si>
  <si>
    <t xml:space="preserve">Suzuki Wagon R</t>
  </si>
  <si>
    <t xml:space="preserve">Tyre repair</t>
  </si>
  <si>
    <t xml:space="preserve">V003</t>
  </si>
  <si>
    <t xml:space="preserve">Nissan Caravan</t>
  </si>
  <si>
    <t xml:space="preserve">Brake service</t>
  </si>
  <si>
    <t xml:space="preserve">TOTAL</t>
  </si>
  <si>
    <t xml:space="preserve">Maintenance cost this month is for the month typed in 'Monthly Summary'!A2 (Oct 2026). 'Service due soon' = within 500 km of next service (assumption).</t>
  </si>
  <si>
    <t xml:space="preserve">Mileage columns G and H are for the same month as above; update them each month.</t>
  </si>
  <si>
    <t xml:space="preserve">Renter ID</t>
  </si>
  <si>
    <t xml:space="preserve">Name</t>
  </si>
  <si>
    <t xml:space="preserve">Type</t>
  </si>
  <si>
    <t xml:space="preserve">R01</t>
  </si>
  <si>
    <t xml:space="preserve">Nimal</t>
  </si>
  <si>
    <t xml:space="preserve">Person</t>
  </si>
  <si>
    <t xml:space="preserve">077 444 4444</t>
  </si>
  <si>
    <t xml:space="preserve">R02</t>
  </si>
  <si>
    <t xml:space="preserve">Kamal Ltd</t>
  </si>
  <si>
    <t xml:space="preserve">Company</t>
  </si>
  <si>
    <t xml:space="preserve">011 555 5555</t>
  </si>
  <si>
    <t xml:space="preserve">R03</t>
  </si>
  <si>
    <t xml:space="preserve">ABC Travels</t>
  </si>
  <si>
    <t xml:space="preserve">011 666 6666</t>
  </si>
  <si>
    <t xml:space="preserve">Company ID</t>
  </si>
  <si>
    <t xml:space="preserve">Company Name</t>
  </si>
  <si>
    <t xml:space="preserve">Contact Person</t>
  </si>
  <si>
    <t xml:space="preserve">Email</t>
  </si>
  <si>
    <t xml:space="preserve">Address</t>
  </si>
  <si>
    <t xml:space="preserve">Payment Terms (days)</t>
  </si>
  <si>
    <t xml:space="preserve">Total Billed</t>
  </si>
  <si>
    <t xml:space="preserve">Amount Received</t>
  </si>
  <si>
    <t xml:space="preserve">Cash Still to Receive</t>
  </si>
  <si>
    <t xml:space="preserve">C01</t>
  </si>
  <si>
    <t xml:space="preserve">Mr. Jayasuriya</t>
  </si>
  <si>
    <t xml:space="preserve">accounts@kamal.example</t>
  </si>
  <si>
    <t xml:space="preserve">Colombo 03</t>
  </si>
  <si>
    <t xml:space="preserve">C02</t>
  </si>
  <si>
    <t xml:space="preserve">Ms. Fonseka</t>
  </si>
  <si>
    <t xml:space="preserve">finance@abctravels.example</t>
  </si>
  <si>
    <t xml:space="preserve">Kandy</t>
  </si>
  <si>
    <t xml:space="preserve">Company ID, contact details and payment terms are sample data. Renter ID must match a Company in the Renters sheet; totals cover all months.</t>
  </si>
  <si>
    <t xml:space="preserve">Rental ID</t>
  </si>
  <si>
    <t xml:space="preserve">Month</t>
  </si>
  <si>
    <t xml:space="preserve">Days Rented</t>
  </si>
  <si>
    <t xml:space="preserve">RT01</t>
  </si>
  <si>
    <t xml:space="preserve">Oct 2026</t>
  </si>
  <si>
    <t xml:space="preserve">RT02</t>
  </si>
  <si>
    <t xml:space="preserve">RT03</t>
  </si>
  <si>
    <t xml:space="preserve">Maint ID</t>
  </si>
  <si>
    <t xml:space="preserve">Description</t>
  </si>
  <si>
    <t xml:space="preserve">Cost (LKR)</t>
  </si>
  <si>
    <t xml:space="preserve">M01</t>
  </si>
  <si>
    <t xml:space="preserve">M02</t>
  </si>
  <si>
    <t xml:space="preserve">M03</t>
  </si>
  <si>
    <t xml:space="preserve">Owner</t>
  </si>
  <si>
    <t xml:space="preserve">Days</t>
  </si>
  <si>
    <t xml:space="preserve">Gross Pay</t>
  </si>
  <si>
    <t xml:space="preserve">Maintenance Deduction</t>
  </si>
  <si>
    <t xml:space="preserve">Net Pay</t>
  </si>
  <si>
    <t xml:space="preserve">Amount Paid</t>
  </si>
  <si>
    <t xml:space="preserve">Still to Pay</t>
  </si>
  <si>
    <t xml:space="preserve">Renter</t>
  </si>
  <si>
    <t xml:space="preserve">Received</t>
  </si>
  <si>
    <t xml:space="preserve">Still to Receive</t>
  </si>
  <si>
    <t xml:space="preserve">Owner Net Pay</t>
  </si>
  <si>
    <t xml:space="preserve">Paid to Owners</t>
  </si>
  <si>
    <t xml:space="preserve">Still to Pay Owners</t>
  </si>
  <si>
    <t xml:space="preserve">Our Profit (Billed - Owner Net Pay)</t>
  </si>
  <si>
    <t xml:space="preserve">Cash Position (Received - Paid to Owners)</t>
  </si>
  <si>
    <t xml:space="preserve">Nov 2026</t>
  </si>
  <si>
    <t xml:space="preserve">Dec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</si>
</sst>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"/>
    <numFmt numFmtId="167" formatCode="dd\ mmm\ yyyy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8"/>
  </cols>
  <sheetData>
    <row r="1" customFormat="false" ht="48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</row>
    <row r="2" customFormat="false" ht="15" hidden="false" customHeight="true" outlineLevel="0" collapsed="false">
      <c r="A2" s="6" t="s">
        <v>24</v>
      </c>
      <c r="B2" s="6" t="s">
        <v>25</v>
      </c>
      <c r="C2" s="6" t="s">
        <v>26</v>
      </c>
      <c r="D2" s="6" t="s">
        <v>27</v>
      </c>
    </row>
    <row r="3" customFormat="false" ht="15" hidden="false" customHeight="true" outlineLevel="0" collapsed="false">
      <c r="A3" s="6" t="s">
        <v>28</v>
      </c>
      <c r="B3" s="6" t="s">
        <v>29</v>
      </c>
      <c r="C3" s="6" t="s">
        <v>30</v>
      </c>
      <c r="D3" s="6" t="s">
        <v>31</v>
      </c>
    </row>
    <row r="4" customFormat="false" ht="15" hidden="false" customHeight="true" outlineLevel="0" collapsed="false">
      <c r="A4" s="6" t="s">
        <v>32</v>
      </c>
      <c r="B4" s="6" t="s">
        <v>33</v>
      </c>
      <c r="C4" s="6" t="s">
        <v>34</v>
      </c>
      <c r="D4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10" min="9" style="1" width="13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12"/>
    <col collapsed="false" customWidth="true" hidden="false" outlineLevel="0" max="15" min="15" style="1" width="15"/>
    <col collapsed="false" customWidth="true" hidden="false" outlineLevel="0" max="16" min="16" style="1" width="17"/>
    <col collapsed="false" customWidth="true" hidden="false" outlineLevel="0" max="17" min="17" style="1" width="15"/>
    <col collapsed="false" customWidth="true" hidden="false" outlineLevel="0" max="18" min="18" style="1" width="14"/>
    <col collapsed="false" customWidth="true" hidden="false" outlineLevel="0" max="19" min="19" style="1" width="18"/>
  </cols>
  <sheetData>
    <row r="1" customFormat="false" ht="48" hidden="false" customHeight="true" outlineLevel="0" collapsed="false">
      <c r="A1" s="5" t="s">
        <v>36</v>
      </c>
      <c r="B1" s="5" t="s">
        <v>37</v>
      </c>
      <c r="C1" s="5" t="s">
        <v>20</v>
      </c>
      <c r="D1" s="5" t="s">
        <v>21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24</v>
      </c>
      <c r="D2" s="7" t="str">
        <f aca="false">INDEX(Owners!$B$2:$B$200,MATCH(C2,Owners!$A$2:$A$200,0))</f>
        <v>Mr. Perera</v>
      </c>
      <c r="E2" s="8" t="n">
        <v>6000</v>
      </c>
      <c r="F2" s="8" t="n">
        <v>8000</v>
      </c>
      <c r="G2" s="9" t="n">
        <v>45200</v>
      </c>
      <c r="H2" s="9" t="n">
        <v>46100</v>
      </c>
      <c r="I2" s="10" t="n">
        <f aca="false">H2-G2</f>
        <v>900</v>
      </c>
      <c r="J2" s="10" t="n">
        <f aca="false">H2</f>
        <v>46100</v>
      </c>
      <c r="K2" s="6" t="s">
        <v>55</v>
      </c>
      <c r="L2" s="11" t="n">
        <v>46300</v>
      </c>
      <c r="M2" s="9" t="n">
        <v>45500</v>
      </c>
      <c r="N2" s="9" t="n">
        <v>5000</v>
      </c>
      <c r="O2" s="12" t="n">
        <f aca="false">SUMIFS(Maintenance!$E$2:$E$200,Maintenance!$B$2:$B$200,A2,Maintenance!$C$2:$C$200,'Monthly Summary'!$A$2)</f>
        <v>2000</v>
      </c>
      <c r="P2" s="6" t="s">
        <v>56</v>
      </c>
      <c r="Q2" s="11" t="n">
        <v>46392</v>
      </c>
      <c r="R2" s="10" t="n">
        <f aca="false">M2+N2</f>
        <v>50500</v>
      </c>
      <c r="S2" s="13" t="str">
        <f aca="false">IF(J2&gt;=R2,"SERVICE OVERDUE",IF(R2-J2&lt;=500,"Service due soon","OK"))</f>
        <v>OK</v>
      </c>
    </row>
    <row r="3" customFormat="false" ht="15" hidden="false" customHeight="true" outlineLevel="0" collapsed="false">
      <c r="A3" s="6" t="s">
        <v>57</v>
      </c>
      <c r="B3" s="6" t="s">
        <v>58</v>
      </c>
      <c r="C3" s="6" t="s">
        <v>28</v>
      </c>
      <c r="D3" s="7" t="str">
        <f aca="false">INDEX(Owners!$B$2:$B$200,MATCH(C3,Owners!$A$2:$A$200,0))</f>
        <v>Mrs. Silva</v>
      </c>
      <c r="E3" s="8" t="n">
        <v>4000</v>
      </c>
      <c r="F3" s="8" t="n">
        <v>5500</v>
      </c>
      <c r="G3" s="9" t="n">
        <v>31000</v>
      </c>
      <c r="H3" s="9" t="n">
        <v>32300</v>
      </c>
      <c r="I3" s="10" t="n">
        <f aca="false">H3-G3</f>
        <v>1300</v>
      </c>
      <c r="J3" s="10" t="n">
        <f aca="false">H3</f>
        <v>32300</v>
      </c>
      <c r="K3" s="6" t="s">
        <v>59</v>
      </c>
      <c r="L3" s="11" t="n">
        <v>46307</v>
      </c>
      <c r="M3" s="9" t="n">
        <v>31600</v>
      </c>
      <c r="N3" s="9" t="n">
        <v>10000</v>
      </c>
      <c r="O3" s="12" t="n">
        <f aca="false">SUMIFS(Maintenance!$E$2:$E$200,Maintenance!$B$2:$B$200,A3,Maintenance!$C$2:$C$200,'Monthly Summary'!$A$2)</f>
        <v>3000</v>
      </c>
      <c r="P3" s="6" t="s">
        <v>56</v>
      </c>
      <c r="Q3" s="11" t="n">
        <v>46489</v>
      </c>
      <c r="R3" s="10" t="n">
        <f aca="false">M3+N3</f>
        <v>41600</v>
      </c>
      <c r="S3" s="13" t="str">
        <f aca="false">IF(J3&gt;=R3,"SERVICE OVERDUE",IF(R3-J3&lt;=500,"Service due soon","OK"))</f>
        <v>OK</v>
      </c>
    </row>
    <row r="4" customFormat="false" ht="15" hidden="false" customHeight="true" outlineLevel="0" collapsed="false">
      <c r="A4" s="6" t="s">
        <v>60</v>
      </c>
      <c r="B4" s="6" t="s">
        <v>61</v>
      </c>
      <c r="C4" s="6" t="s">
        <v>32</v>
      </c>
      <c r="D4" s="7" t="str">
        <f aca="false">INDEX(Owners!$B$2:$B$200,MATCH(C4,Owners!$A$2:$A$200,0))</f>
        <v>Mr. Fernando</v>
      </c>
      <c r="E4" s="8" t="n">
        <v>9000</v>
      </c>
      <c r="F4" s="8" t="n">
        <v>12000</v>
      </c>
      <c r="G4" s="9" t="n">
        <v>78400</v>
      </c>
      <c r="H4" s="9" t="n">
        <v>80200</v>
      </c>
      <c r="I4" s="10" t="n">
        <f aca="false">H4-G4</f>
        <v>1800</v>
      </c>
      <c r="J4" s="10" t="n">
        <f aca="false">H4</f>
        <v>80200</v>
      </c>
      <c r="K4" s="6" t="s">
        <v>62</v>
      </c>
      <c r="L4" s="11" t="n">
        <v>46313</v>
      </c>
      <c r="M4" s="9" t="n">
        <v>79100</v>
      </c>
      <c r="N4" s="9" t="n">
        <v>10000</v>
      </c>
      <c r="O4" s="12" t="n">
        <f aca="false">SUMIFS(Maintenance!$E$2:$E$200,Maintenance!$B$2:$B$200,A4,Maintenance!$C$2:$C$200,'Monthly Summary'!$A$2)</f>
        <v>5000</v>
      </c>
      <c r="P4" s="6" t="s">
        <v>56</v>
      </c>
      <c r="Q4" s="11" t="n">
        <v>46495</v>
      </c>
      <c r="R4" s="10" t="n">
        <f aca="false">M4+N4</f>
        <v>89100</v>
      </c>
      <c r="S4" s="13" t="str">
        <f aca="false">IF(J4&gt;=R4,"SERVICE OVERDUE",IF(R4-J4&lt;=500,"Service due soon","OK"))</f>
        <v>OK</v>
      </c>
    </row>
    <row r="6" customFormat="false" ht="15" hidden="false" customHeight="true" outlineLevel="0" collapsed="false">
      <c r="A6" s="14" t="s">
        <v>63</v>
      </c>
      <c r="B6" s="14"/>
      <c r="C6" s="14"/>
      <c r="D6" s="14"/>
      <c r="E6" s="14"/>
      <c r="F6" s="14"/>
      <c r="G6" s="14"/>
      <c r="H6" s="14"/>
      <c r="I6" s="15" t="n">
        <f aca="false">SUM(I2:I5)</f>
        <v>4000</v>
      </c>
      <c r="J6" s="14"/>
      <c r="K6" s="14"/>
      <c r="L6" s="14"/>
      <c r="M6" s="14"/>
      <c r="N6" s="14"/>
      <c r="O6" s="16" t="n">
        <f aca="false">SUM(O2:O5)</f>
        <v>10000</v>
      </c>
      <c r="P6" s="14"/>
      <c r="Q6" s="14"/>
      <c r="R6" s="14"/>
      <c r="S6" s="14"/>
    </row>
    <row r="8" customFormat="false" ht="15" hidden="false" customHeight="true" outlineLevel="0" collapsed="false">
      <c r="A8" s="17" t="s">
        <v>64</v>
      </c>
    </row>
    <row r="9" customFormat="false" ht="15" hidden="false" customHeight="true" outlineLevel="0" collapsed="false">
      <c r="A9" s="1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8"/>
  </cols>
  <sheetData>
    <row r="1" customFormat="false" ht="48" hidden="false" customHeight="true" outlineLevel="0" collapsed="false">
      <c r="A1" s="5" t="s">
        <v>66</v>
      </c>
      <c r="B1" s="5" t="s">
        <v>67</v>
      </c>
      <c r="C1" s="5" t="s">
        <v>68</v>
      </c>
      <c r="D1" s="5" t="s">
        <v>22</v>
      </c>
    </row>
    <row r="2" customFormat="false" ht="15" hidden="false" customHeight="true" outlineLevel="0" collapsed="false">
      <c r="A2" s="6" t="s">
        <v>69</v>
      </c>
      <c r="B2" s="6" t="s">
        <v>70</v>
      </c>
      <c r="C2" s="6" t="s">
        <v>71</v>
      </c>
      <c r="D2" s="6" t="s">
        <v>72</v>
      </c>
    </row>
    <row r="3" customFormat="false" ht="15" hidden="false" customHeight="true" outlineLevel="0" collapsed="false">
      <c r="A3" s="6" t="s">
        <v>73</v>
      </c>
      <c r="B3" s="6" t="s">
        <v>74</v>
      </c>
      <c r="C3" s="6" t="s">
        <v>75</v>
      </c>
      <c r="D3" s="6" t="s">
        <v>76</v>
      </c>
    </row>
    <row r="4" customFormat="false" ht="15" hidden="false" customHeight="true" outlineLevel="0" collapsed="false">
      <c r="A4" s="6" t="s">
        <v>77</v>
      </c>
      <c r="B4" s="6" t="s">
        <v>78</v>
      </c>
      <c r="C4" s="6" t="s">
        <v>75</v>
      </c>
      <c r="D4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39.75" hidden="false" customHeight="true" outlineLevel="0" collapsed="false">
      <c r="A1" s="5" t="s">
        <v>80</v>
      </c>
      <c r="B1" s="5" t="s">
        <v>66</v>
      </c>
      <c r="C1" s="5" t="s">
        <v>81</v>
      </c>
      <c r="D1" s="5" t="s">
        <v>82</v>
      </c>
      <c r="E1" s="5" t="s">
        <v>22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87</v>
      </c>
      <c r="K1" s="5" t="s">
        <v>88</v>
      </c>
    </row>
    <row r="2" customFormat="false" ht="15" hidden="false" customHeight="false" outlineLevel="0" collapsed="false">
      <c r="A2" s="18" t="s">
        <v>89</v>
      </c>
      <c r="B2" s="18" t="s">
        <v>73</v>
      </c>
      <c r="C2" s="19" t="str">
        <f aca="false">INDEX(Renters!$B$2:$B$200,MATCH(B2,Renters!$A$2:$A$200,0))</f>
        <v>Kamal Ltd</v>
      </c>
      <c r="D2" s="18" t="s">
        <v>90</v>
      </c>
      <c r="E2" s="18" t="s">
        <v>76</v>
      </c>
      <c r="F2" s="18" t="s">
        <v>91</v>
      </c>
      <c r="G2" s="18" t="s">
        <v>92</v>
      </c>
      <c r="H2" s="18" t="n">
        <v>30</v>
      </c>
      <c r="I2" s="20" t="n">
        <f aca="false">SUMIFS('Renter Receipts'!$G$2:$G$200,'Renter Receipts'!$C$2:$C$200,C2)</f>
        <v>82500</v>
      </c>
      <c r="J2" s="20" t="n">
        <f aca="false">SUMIFS('Renter Receipts'!$H$2:$H$200,'Renter Receipts'!$C$2:$C$200,C2)</f>
        <v>82500</v>
      </c>
      <c r="K2" s="21" t="n">
        <f aca="false">I2-J2</f>
        <v>0</v>
      </c>
    </row>
    <row r="3" customFormat="false" ht="15" hidden="false" customHeight="false" outlineLevel="0" collapsed="false">
      <c r="A3" s="18" t="s">
        <v>93</v>
      </c>
      <c r="B3" s="18" t="s">
        <v>77</v>
      </c>
      <c r="C3" s="19" t="str">
        <f aca="false">INDEX(Renters!$B$2:$B$200,MATCH(B3,Renters!$A$2:$A$200,0))</f>
        <v>ABC Travels</v>
      </c>
      <c r="D3" s="18" t="s">
        <v>94</v>
      </c>
      <c r="E3" s="18" t="s">
        <v>79</v>
      </c>
      <c r="F3" s="18" t="s">
        <v>95</v>
      </c>
      <c r="G3" s="18" t="s">
        <v>96</v>
      </c>
      <c r="H3" s="18" t="n">
        <v>14</v>
      </c>
      <c r="I3" s="20" t="n">
        <f aca="false">SUMIFS('Renter Receipts'!$G$2:$G$200,'Renter Receipts'!$C$2:$C$200,C3)</f>
        <v>240000</v>
      </c>
      <c r="J3" s="20" t="n">
        <f aca="false">SUMIFS('Renter Receipts'!$H$2:$H$200,'Renter Receipts'!$C$2:$C$200,C3)</f>
        <v>100000</v>
      </c>
      <c r="K3" s="21" t="n">
        <f aca="false">I3-J3</f>
        <v>140000</v>
      </c>
    </row>
    <row r="5" customFormat="false" ht="15" hidden="false" customHeight="false" outlineLevel="0" collapsed="false">
      <c r="A5" s="22" t="s">
        <v>63</v>
      </c>
      <c r="B5" s="22"/>
      <c r="C5" s="22"/>
      <c r="D5" s="22"/>
      <c r="E5" s="22"/>
      <c r="F5" s="22"/>
      <c r="G5" s="22"/>
      <c r="H5" s="22"/>
      <c r="I5" s="23" t="n">
        <f aca="false">SUM(I2:I4)</f>
        <v>322500</v>
      </c>
      <c r="J5" s="23" t="n">
        <f aca="false">SUM(J2:J4)</f>
        <v>182500</v>
      </c>
      <c r="K5" s="23" t="n">
        <f aca="false">SUM(K2:K4)</f>
        <v>140000</v>
      </c>
    </row>
    <row r="7" customFormat="false" ht="15" hidden="false" customHeight="false" outlineLevel="0" collapsed="false">
      <c r="A7" s="2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3"/>
  </cols>
  <sheetData>
    <row r="1" customFormat="false" ht="48" hidden="false" customHeight="true" outlineLevel="0" collapsed="false">
      <c r="A1" s="5" t="s">
        <v>98</v>
      </c>
      <c r="B1" s="5" t="s">
        <v>36</v>
      </c>
      <c r="C1" s="5" t="s">
        <v>66</v>
      </c>
      <c r="D1" s="5" t="s">
        <v>99</v>
      </c>
      <c r="E1" s="5" t="s">
        <v>100</v>
      </c>
    </row>
    <row r="2" customFormat="false" ht="15" hidden="false" customHeight="true" outlineLevel="0" collapsed="false">
      <c r="A2" s="6" t="s">
        <v>101</v>
      </c>
      <c r="B2" s="6" t="s">
        <v>53</v>
      </c>
      <c r="C2" s="6" t="s">
        <v>69</v>
      </c>
      <c r="D2" s="6" t="s">
        <v>102</v>
      </c>
      <c r="E2" s="6" t="n">
        <v>10</v>
      </c>
    </row>
    <row r="3" customFormat="false" ht="15" hidden="false" customHeight="true" outlineLevel="0" collapsed="false">
      <c r="A3" s="6" t="s">
        <v>103</v>
      </c>
      <c r="B3" s="6" t="s">
        <v>57</v>
      </c>
      <c r="C3" s="6" t="s">
        <v>73</v>
      </c>
      <c r="D3" s="6" t="s">
        <v>102</v>
      </c>
      <c r="E3" s="6" t="n">
        <v>15</v>
      </c>
    </row>
    <row r="4" customFormat="false" ht="15" hidden="false" customHeight="true" outlineLevel="0" collapsed="false">
      <c r="A4" s="6" t="s">
        <v>104</v>
      </c>
      <c r="B4" s="6" t="s">
        <v>60</v>
      </c>
      <c r="C4" s="6" t="s">
        <v>77</v>
      </c>
      <c r="D4" s="6" t="s">
        <v>102</v>
      </c>
      <c r="E4" s="6" t="n">
        <v>20</v>
      </c>
    </row>
    <row r="6" customFormat="false" ht="15" hidden="false" customHeight="true" outlineLevel="0" collapsed="false">
      <c r="A6" s="14" t="s">
        <v>63</v>
      </c>
      <c r="B6" s="14"/>
      <c r="C6" s="14"/>
      <c r="D6" s="14"/>
      <c r="E6" s="15" t="n">
        <f aca="false">SUM(E2:E5)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28"/>
    <col collapsed="false" customWidth="true" hidden="false" outlineLevel="0" max="5" min="5" style="1" width="14"/>
  </cols>
  <sheetData>
    <row r="1" customFormat="false" ht="48" hidden="false" customHeight="true" outlineLevel="0" collapsed="false">
      <c r="A1" s="5" t="s">
        <v>105</v>
      </c>
      <c r="B1" s="5" t="s">
        <v>36</v>
      </c>
      <c r="C1" s="5" t="s">
        <v>99</v>
      </c>
      <c r="D1" s="5" t="s">
        <v>106</v>
      </c>
      <c r="E1" s="5" t="s">
        <v>107</v>
      </c>
    </row>
    <row r="2" customFormat="false" ht="15" hidden="false" customHeight="true" outlineLevel="0" collapsed="false">
      <c r="A2" s="6" t="s">
        <v>108</v>
      </c>
      <c r="B2" s="6" t="s">
        <v>53</v>
      </c>
      <c r="C2" s="6" t="s">
        <v>102</v>
      </c>
      <c r="D2" s="6" t="s">
        <v>55</v>
      </c>
      <c r="E2" s="8" t="n">
        <v>2000</v>
      </c>
    </row>
    <row r="3" customFormat="false" ht="15" hidden="false" customHeight="true" outlineLevel="0" collapsed="false">
      <c r="A3" s="6" t="s">
        <v>109</v>
      </c>
      <c r="B3" s="6" t="s">
        <v>57</v>
      </c>
      <c r="C3" s="6" t="s">
        <v>102</v>
      </c>
      <c r="D3" s="6" t="s">
        <v>59</v>
      </c>
      <c r="E3" s="8" t="n">
        <v>3000</v>
      </c>
    </row>
    <row r="4" customFormat="false" ht="15" hidden="false" customHeight="true" outlineLevel="0" collapsed="false">
      <c r="A4" s="6" t="s">
        <v>110</v>
      </c>
      <c r="B4" s="6" t="s">
        <v>60</v>
      </c>
      <c r="C4" s="6" t="s">
        <v>102</v>
      </c>
      <c r="D4" s="6" t="s">
        <v>62</v>
      </c>
      <c r="E4" s="8" t="n">
        <v>5000</v>
      </c>
    </row>
    <row r="6" customFormat="false" ht="15" hidden="false" customHeight="true" outlineLevel="0" collapsed="false">
      <c r="A6" s="14" t="s">
        <v>63</v>
      </c>
      <c r="B6" s="14"/>
      <c r="C6" s="14"/>
      <c r="D6" s="14"/>
      <c r="E6" s="16" t="n">
        <f aca="false">SUM(E2:E5)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11" min="9" style="1" width="14"/>
  </cols>
  <sheetData>
    <row r="1" customFormat="false" ht="48" hidden="false" customHeight="true" outlineLevel="0" collapsed="false">
      <c r="A1" s="5" t="s">
        <v>98</v>
      </c>
      <c r="B1" s="5" t="s">
        <v>36</v>
      </c>
      <c r="C1" s="5" t="s">
        <v>111</v>
      </c>
      <c r="D1" s="5" t="s">
        <v>99</v>
      </c>
      <c r="E1" s="5" t="s">
        <v>112</v>
      </c>
      <c r="F1" s="5" t="s">
        <v>38</v>
      </c>
      <c r="G1" s="5" t="s">
        <v>113</v>
      </c>
      <c r="H1" s="5" t="s">
        <v>114</v>
      </c>
      <c r="I1" s="5" t="s">
        <v>115</v>
      </c>
      <c r="J1" s="5" t="s">
        <v>116</v>
      </c>
      <c r="K1" s="5" t="s">
        <v>117</v>
      </c>
    </row>
    <row r="2" customFormat="false" ht="15" hidden="false" customHeight="true" outlineLevel="0" collapsed="false">
      <c r="A2" s="7" t="str">
        <f aca="false">Rentals!A2</f>
        <v>RT01</v>
      </c>
      <c r="B2" s="7" t="str">
        <f aca="false">Rentals!B2</f>
        <v>V001</v>
      </c>
      <c r="C2" s="7" t="str">
        <f aca="false">INDEX(Vehicles!$D$2:$D$5,MATCH(B2,Vehicles!$A$2:$A$5,0))</f>
        <v>Mr. Perera</v>
      </c>
      <c r="D2" s="7" t="str">
        <f aca="false">Rentals!D2</f>
        <v>Oct 2026</v>
      </c>
      <c r="E2" s="7" t="n">
        <f aca="false">Rentals!E2</f>
        <v>10</v>
      </c>
      <c r="F2" s="12" t="n">
        <f aca="false">INDEX(Vehicles!$E$2:$E$5,MATCH(B2,Vehicles!$A$2:$A$5,0))</f>
        <v>6000</v>
      </c>
      <c r="G2" s="25" t="n">
        <f aca="false">E2*F2</f>
        <v>60000</v>
      </c>
      <c r="H2" s="25" t="n">
        <f aca="false">IF(INDEX(Vehicles!$P$2:$P$5,MATCH(B2,Vehicles!$A$2:$A$5,0))="Owner (deducted)",SUMIFS(Maintenance!$E$2:$E$200,Maintenance!$B$2:$B$200,B2,Maintenance!$C$2:$C$200,D2),0)</f>
        <v>2000</v>
      </c>
      <c r="I2" s="25" t="n">
        <f aca="false">G2-H2</f>
        <v>58000</v>
      </c>
      <c r="J2" s="8" t="n">
        <v>58000</v>
      </c>
      <c r="K2" s="25" t="n">
        <f aca="false">I2-J2</f>
        <v>0</v>
      </c>
    </row>
    <row r="3" customFormat="false" ht="15" hidden="false" customHeight="true" outlineLevel="0" collapsed="false">
      <c r="A3" s="7" t="str">
        <f aca="false">Rentals!A3</f>
        <v>RT02</v>
      </c>
      <c r="B3" s="7" t="str">
        <f aca="false">Rentals!B3</f>
        <v>V002</v>
      </c>
      <c r="C3" s="7" t="str">
        <f aca="false">INDEX(Vehicles!$D$2:$D$5,MATCH(B3,Vehicles!$A$2:$A$5,0))</f>
        <v>Mrs. Silva</v>
      </c>
      <c r="D3" s="7" t="str">
        <f aca="false">Rentals!D3</f>
        <v>Oct 2026</v>
      </c>
      <c r="E3" s="7" t="n">
        <f aca="false">Rentals!E3</f>
        <v>15</v>
      </c>
      <c r="F3" s="12" t="n">
        <f aca="false">INDEX(Vehicles!$E$2:$E$5,MATCH(B3,Vehicles!$A$2:$A$5,0))</f>
        <v>4000</v>
      </c>
      <c r="G3" s="25" t="n">
        <f aca="false">E3*F3</f>
        <v>60000</v>
      </c>
      <c r="H3" s="25" t="n">
        <f aca="false">IF(INDEX(Vehicles!$P$2:$P$5,MATCH(B3,Vehicles!$A$2:$A$5,0))="Owner (deducted)",SUMIFS(Maintenance!$E$2:$E$200,Maintenance!$B$2:$B$200,B3,Maintenance!$C$2:$C$200,D3),0)</f>
        <v>3000</v>
      </c>
      <c r="I3" s="25" t="n">
        <f aca="false">G3-H3</f>
        <v>57000</v>
      </c>
      <c r="J3" s="8" t="n">
        <v>30000</v>
      </c>
      <c r="K3" s="25" t="n">
        <f aca="false">I3-J3</f>
        <v>27000</v>
      </c>
    </row>
    <row r="4" customFormat="false" ht="15" hidden="false" customHeight="true" outlineLevel="0" collapsed="false">
      <c r="A4" s="7" t="str">
        <f aca="false">Rentals!A4</f>
        <v>RT03</v>
      </c>
      <c r="B4" s="7" t="str">
        <f aca="false">Rentals!B4</f>
        <v>V003</v>
      </c>
      <c r="C4" s="7" t="str">
        <f aca="false">INDEX(Vehicles!$D$2:$D$5,MATCH(B4,Vehicles!$A$2:$A$5,0))</f>
        <v>Mr. Fernando</v>
      </c>
      <c r="D4" s="7" t="str">
        <f aca="false">Rentals!D4</f>
        <v>Oct 2026</v>
      </c>
      <c r="E4" s="7" t="n">
        <f aca="false">Rentals!E4</f>
        <v>20</v>
      </c>
      <c r="F4" s="12" t="n">
        <f aca="false">INDEX(Vehicles!$E$2:$E$5,MATCH(B4,Vehicles!$A$2:$A$5,0))</f>
        <v>9000</v>
      </c>
      <c r="G4" s="25" t="n">
        <f aca="false">E4*F4</f>
        <v>180000</v>
      </c>
      <c r="H4" s="25" t="n">
        <f aca="false">IF(INDEX(Vehicles!$P$2:$P$5,MATCH(B4,Vehicles!$A$2:$A$5,0))="Owner (deducted)",SUMIFS(Maintenance!$E$2:$E$200,Maintenance!$B$2:$B$200,B4,Maintenance!$C$2:$C$200,D4),0)</f>
        <v>5000</v>
      </c>
      <c r="I4" s="25" t="n">
        <f aca="false">G4-H4</f>
        <v>175000</v>
      </c>
      <c r="J4" s="8" t="n">
        <v>0</v>
      </c>
      <c r="K4" s="25" t="n">
        <f aca="false">I4-J4</f>
        <v>175000</v>
      </c>
    </row>
    <row r="5" customFormat="false" ht="15" hidden="false" customHeight="true" outlineLevel="0" collapsed="false">
      <c r="A5" s="14" t="s">
        <v>63</v>
      </c>
      <c r="B5" s="14"/>
      <c r="C5" s="14"/>
      <c r="D5" s="14"/>
      <c r="E5" s="15" t="n">
        <f aca="false">SUM(E2:E4)</f>
        <v>45</v>
      </c>
      <c r="F5" s="14"/>
      <c r="G5" s="16" t="n">
        <f aca="false">SUM(G2:G4)</f>
        <v>300000</v>
      </c>
      <c r="H5" s="16" t="n">
        <f aca="false">SUM(H2:H4)</f>
        <v>10000</v>
      </c>
      <c r="I5" s="16" t="n">
        <f aca="false">SUM(I2:I4)</f>
        <v>290000</v>
      </c>
      <c r="J5" s="16" t="n">
        <f aca="false">SUM(J2:J4)</f>
        <v>88000</v>
      </c>
      <c r="K5" s="16" t="n">
        <f aca="false">SUM(K2:K4)</f>
        <v>202000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6"/>
  </cols>
  <sheetData>
    <row r="1" customFormat="false" ht="48" hidden="false" customHeight="true" outlineLevel="0" collapsed="false">
      <c r="A1" s="5" t="s">
        <v>98</v>
      </c>
      <c r="B1" s="5" t="s">
        <v>36</v>
      </c>
      <c r="C1" s="5" t="s">
        <v>118</v>
      </c>
      <c r="D1" s="5" t="s">
        <v>99</v>
      </c>
      <c r="E1" s="5" t="s">
        <v>112</v>
      </c>
      <c r="F1" s="5" t="s">
        <v>39</v>
      </c>
      <c r="G1" s="5" t="s">
        <v>86</v>
      </c>
      <c r="H1" s="5" t="s">
        <v>87</v>
      </c>
      <c r="I1" s="5" t="s">
        <v>88</v>
      </c>
    </row>
    <row r="2" customFormat="false" ht="15" hidden="false" customHeight="true" outlineLevel="0" collapsed="false">
      <c r="A2" s="7" t="str">
        <f aca="false">Rentals!A2</f>
        <v>RT01</v>
      </c>
      <c r="B2" s="7" t="str">
        <f aca="false">Rentals!B2</f>
        <v>V001</v>
      </c>
      <c r="C2" s="7" t="str">
        <f aca="false">INDEX(Renters!$B$2:$B$200,MATCH(Rentals!C2,Renters!$A$2:$A$200,0))</f>
        <v>Nimal</v>
      </c>
      <c r="D2" s="7" t="str">
        <f aca="false">Rentals!D2</f>
        <v>Oct 2026</v>
      </c>
      <c r="E2" s="7" t="n">
        <f aca="false">Rentals!E2</f>
        <v>10</v>
      </c>
      <c r="F2" s="12" t="n">
        <f aca="false">INDEX(Vehicles!$F$2:$F$5,MATCH(B2,Vehicles!$A$2:$A$5,0))</f>
        <v>8000</v>
      </c>
      <c r="G2" s="25" t="n">
        <f aca="false">E2*F2</f>
        <v>80000</v>
      </c>
      <c r="H2" s="8" t="n">
        <v>50000</v>
      </c>
      <c r="I2" s="25" t="n">
        <f aca="false">G2-H2</f>
        <v>30000</v>
      </c>
    </row>
    <row r="3" customFormat="false" ht="15" hidden="false" customHeight="true" outlineLevel="0" collapsed="false">
      <c r="A3" s="7" t="str">
        <f aca="false">Rentals!A3</f>
        <v>RT02</v>
      </c>
      <c r="B3" s="7" t="str">
        <f aca="false">Rentals!B3</f>
        <v>V002</v>
      </c>
      <c r="C3" s="7" t="str">
        <f aca="false">INDEX(Renters!$B$2:$B$200,MATCH(Rentals!C3,Renters!$A$2:$A$200,0))</f>
        <v>Kamal Ltd</v>
      </c>
      <c r="D3" s="7" t="str">
        <f aca="false">Rentals!D3</f>
        <v>Oct 2026</v>
      </c>
      <c r="E3" s="7" t="n">
        <f aca="false">Rentals!E3</f>
        <v>15</v>
      </c>
      <c r="F3" s="12" t="n">
        <f aca="false">INDEX(Vehicles!$F$2:$F$5,MATCH(B3,Vehicles!$A$2:$A$5,0))</f>
        <v>5500</v>
      </c>
      <c r="G3" s="25" t="n">
        <f aca="false">E3*F3</f>
        <v>82500</v>
      </c>
      <c r="H3" s="8" t="n">
        <v>82500</v>
      </c>
      <c r="I3" s="25" t="n">
        <f aca="false">G3-H3</f>
        <v>0</v>
      </c>
    </row>
    <row r="4" customFormat="false" ht="15" hidden="false" customHeight="true" outlineLevel="0" collapsed="false">
      <c r="A4" s="7" t="str">
        <f aca="false">Rentals!A4</f>
        <v>RT03</v>
      </c>
      <c r="B4" s="7" t="str">
        <f aca="false">Rentals!B4</f>
        <v>V003</v>
      </c>
      <c r="C4" s="7" t="str">
        <f aca="false">INDEX(Renters!$B$2:$B$200,MATCH(Rentals!C4,Renters!$A$2:$A$200,0))</f>
        <v>ABC Travels</v>
      </c>
      <c r="D4" s="7" t="str">
        <f aca="false">Rentals!D4</f>
        <v>Oct 2026</v>
      </c>
      <c r="E4" s="7" t="n">
        <f aca="false">Rentals!E4</f>
        <v>20</v>
      </c>
      <c r="F4" s="12" t="n">
        <f aca="false">INDEX(Vehicles!$F$2:$F$5,MATCH(B4,Vehicles!$A$2:$A$5,0))</f>
        <v>12000</v>
      </c>
      <c r="G4" s="25" t="n">
        <f aca="false">E4*F4</f>
        <v>240000</v>
      </c>
      <c r="H4" s="8" t="n">
        <v>100000</v>
      </c>
      <c r="I4" s="25" t="n">
        <f aca="false">G4-H4</f>
        <v>140000</v>
      </c>
    </row>
    <row r="5" customFormat="false" ht="15" hidden="false" customHeight="true" outlineLevel="0" collapsed="false">
      <c r="A5" s="14" t="s">
        <v>63</v>
      </c>
      <c r="B5" s="14"/>
      <c r="C5" s="14"/>
      <c r="D5" s="14"/>
      <c r="E5" s="15" t="n">
        <f aca="false">SUM(E2:E4)</f>
        <v>45</v>
      </c>
      <c r="F5" s="14"/>
      <c r="G5" s="16" t="n">
        <f aca="false">SUM(G2:G4)</f>
        <v>402500</v>
      </c>
      <c r="H5" s="16" t="n">
        <f aca="false">SUM(H2:H4)</f>
        <v>232500</v>
      </c>
      <c r="I5" s="16" t="n">
        <f aca="false">SUM(I2:I4)</f>
        <v>170000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5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22"/>
  </cols>
  <sheetData>
    <row r="1" customFormat="false" ht="48" hidden="false" customHeight="true" outlineLevel="0" collapsed="false">
      <c r="A1" s="5" t="s">
        <v>99</v>
      </c>
      <c r="B1" s="5" t="s">
        <v>86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</row>
    <row r="2" customFormat="false" ht="15" hidden="false" customHeight="true" outlineLevel="0" collapsed="false">
      <c r="A2" s="6" t="s">
        <v>102</v>
      </c>
      <c r="B2" s="12" t="n">
        <f aca="false">SUMIFS('Renter Receipts'!$G$2:$G$200,'Renter Receipts'!$D$2:$D$200,A2)</f>
        <v>402500</v>
      </c>
      <c r="C2" s="12" t="n">
        <f aca="false">SUMIFS('Renter Receipts'!$H$2:$H$200,'Renter Receipts'!$D$2:$D$200,A2)</f>
        <v>232500</v>
      </c>
      <c r="D2" s="25" t="n">
        <f aca="false">B2-C2</f>
        <v>170000</v>
      </c>
      <c r="E2" s="12" t="n">
        <f aca="false">SUMIFS('Owner Payments'!$I$2:$I$200,'Owner Payments'!$D$2:$D$200,A2)</f>
        <v>290000</v>
      </c>
      <c r="F2" s="12" t="n">
        <f aca="false">SUMIFS('Owner Payments'!$J$2:$J$200,'Owner Payments'!$D$2:$D$200,A2)</f>
        <v>88000</v>
      </c>
      <c r="G2" s="25" t="n">
        <f aca="false">E2-F2</f>
        <v>202000</v>
      </c>
      <c r="H2" s="25" t="n">
        <f aca="false">B2-E2</f>
        <v>112500</v>
      </c>
      <c r="I2" s="25" t="n">
        <f aca="false">C2-F2</f>
        <v>144500</v>
      </c>
    </row>
    <row r="3" customFormat="false" ht="15" hidden="false" customHeight="true" outlineLevel="0" collapsed="false">
      <c r="A3" s="6" t="s">
        <v>126</v>
      </c>
      <c r="B3" s="12" t="n">
        <f aca="false">SUMIFS('Renter Receipts'!$G$2:$G$200,'Renter Receipts'!$D$2:$D$200,A3)</f>
        <v>0</v>
      </c>
      <c r="C3" s="12" t="n">
        <f aca="false">SUMIFS('Renter Receipts'!$H$2:$H$200,'Renter Receipts'!$D$2:$D$200,A3)</f>
        <v>0</v>
      </c>
      <c r="D3" s="25" t="n">
        <f aca="false">B3-C3</f>
        <v>0</v>
      </c>
      <c r="E3" s="12" t="n">
        <f aca="false">SUMIFS('Owner Payments'!$I$2:$I$200,'Owner Payments'!$D$2:$D$200,A3)</f>
        <v>0</v>
      </c>
      <c r="F3" s="12" t="n">
        <f aca="false">SUMIFS('Owner Payments'!$J$2:$J$200,'Owner Payments'!$D$2:$D$200,A3)</f>
        <v>0</v>
      </c>
      <c r="G3" s="25" t="n">
        <f aca="false">E3-F3</f>
        <v>0</v>
      </c>
      <c r="H3" s="25" t="n">
        <f aca="false">B3-E3</f>
        <v>0</v>
      </c>
      <c r="I3" s="25" t="n">
        <f aca="false">C3-F3</f>
        <v>0</v>
      </c>
    </row>
    <row r="4" customFormat="false" ht="15" hidden="false" customHeight="true" outlineLevel="0" collapsed="false">
      <c r="A4" s="6" t="s">
        <v>127</v>
      </c>
      <c r="B4" s="12" t="n">
        <f aca="false">SUMIFS('Renter Receipts'!$G$2:$G$200,'Renter Receipts'!$D$2:$D$200,A4)</f>
        <v>0</v>
      </c>
      <c r="C4" s="12" t="n">
        <f aca="false">SUMIFS('Renter Receipts'!$H$2:$H$200,'Renter Receipts'!$D$2:$D$200,A4)</f>
        <v>0</v>
      </c>
      <c r="D4" s="25" t="n">
        <f aca="false">B4-C4</f>
        <v>0</v>
      </c>
      <c r="E4" s="12" t="n">
        <f aca="false">SUMIFS('Owner Payments'!$I$2:$I$200,'Owner Payments'!$D$2:$D$200,A4)</f>
        <v>0</v>
      </c>
      <c r="F4" s="12" t="n">
        <f aca="false">SUMIFS('Owner Payments'!$J$2:$J$200,'Owner Payments'!$D$2:$D$200,A4)</f>
        <v>0</v>
      </c>
      <c r="G4" s="25" t="n">
        <f aca="false">E4-F4</f>
        <v>0</v>
      </c>
      <c r="H4" s="25" t="n">
        <f aca="false">B4-E4</f>
        <v>0</v>
      </c>
      <c r="I4" s="25" t="n">
        <f aca="false">C4-F4</f>
        <v>0</v>
      </c>
    </row>
    <row r="5" customFormat="false" ht="15" hidden="false" customHeight="true" outlineLevel="0" collapsed="false">
      <c r="A5" s="14" t="s">
        <v>63</v>
      </c>
      <c r="B5" s="16" t="n">
        <f aca="false">SUM(B2:B4)</f>
        <v>402500</v>
      </c>
      <c r="C5" s="16" t="n">
        <f aca="false">SUM(C2:C4)</f>
        <v>232500</v>
      </c>
      <c r="D5" s="16" t="n">
        <f aca="false">SUM(D2:D4)</f>
        <v>170000</v>
      </c>
      <c r="E5" s="16" t="n">
        <f aca="false">SUM(E2:E4)</f>
        <v>290000</v>
      </c>
      <c r="F5" s="16" t="n">
        <f aca="false">SUM(F2:F4)</f>
        <v>88000</v>
      </c>
      <c r="G5" s="16" t="n">
        <f aca="false">SUM(G2:G4)</f>
        <v>202000</v>
      </c>
      <c r="H5" s="16" t="n">
        <f aca="false">SUM(H2:H4)</f>
        <v>112500</v>
      </c>
      <c r="I5" s="16" t="n">
        <f aca="false">SUM(I2:I4)</f>
        <v>144500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2026-10-25T05:27:04Z</dcterms:created>
  <dc:creator>openpyxl</dc:creator>
  <dc:description/>
  <dc:language>en-US</dc:language>
  <cp:lastModifiedBy/>
  <dcterms:modified xsi:type="dcterms:W3CDTF">2026-10-25T05:27:59Z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