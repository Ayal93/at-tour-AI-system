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Owners" sheetId="2" state="visible" r:id="rId4"/>
    <sheet name="Vehicles" sheetId="3" state="visible" r:id="rId5"/>
    <sheet name="Vehicle Loans" sheetId="4" state="visible" r:id="rId6"/>
    <sheet name="Vehicle Market Values" sheetId="5" state="visible" r:id="rId7"/>
    <sheet name="Renters" sheetId="6" state="visible" r:id="rId8"/>
    <sheet name="Companies" sheetId="7" state="visible" r:id="rId9"/>
    <sheet name="Rentals" sheetId="8" state="visible" r:id="rId10"/>
    <sheet name="Maintenance" sheetId="9" state="visible" r:id="rId11"/>
    <sheet name="Owner Payments" sheetId="10" state="visible" r:id="rId12"/>
    <sheet name="Renter Receipts" sheetId="11" state="visible" r:id="rId13"/>
    <sheet name="Monthly Summary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<sst xmlns="http://schemas.openxmlformats.org/spreadsheetml/2006/main" count="247" uniqueCount="178">
  <si>
    <t xml:space="preserve">Car Rental Company Workbook</t>
  </si>
  <si>
    <t xml:space="preserve">Sample data in LKR and km. Replace the sample rows with your own.</t>
  </si>
  <si>
    <t xml:space="preserve">Colour legend</t>
  </si>
  <si>
    <t xml:space="preserve">Blue text = input you type (IDs, rates, days, amounts, readings).</t>
  </si>
  <si>
    <t xml:space="preserve">Black text = formula (do not type over).</t>
  </si>
  <si>
    <t xml:space="preserve">Green text = value pulled from another sheet.</t>
  </si>
  <si>
    <t xml:space="preserve">How the sheets link</t>
  </si>
  <si>
    <t xml:space="preserve">Owners -&gt; Vehicles (Owner ID) -&gt; Rentals (Vehicle No) &lt;- Renters (Renter ID).</t>
  </si>
  <si>
    <t xml:space="preserve">Maintenance feeds Vehicles (cost this month) and Owner Payments (deduction).</t>
  </si>
  <si>
    <t xml:space="preserve">Owner Payments and Renter Receipts are calculated from Rentals. You only type Amount Paid / Amount Received.</t>
  </si>
  <si>
    <t xml:space="preserve">Monthly Summary adds everything up by month.</t>
  </si>
  <si>
    <t xml:space="preserve">Adding new rows</t>
  </si>
  <si>
    <t xml:space="preserve">Insert a row ABOVE the TOTAL row, then copy the formulas from the row above.</t>
  </si>
  <si>
    <t xml:space="preserve">In Monthly Summary, type a new month in column A in the same text format, e.g. Nov 2026.</t>
  </si>
  <si>
    <t xml:space="preserve">Assumptions</t>
  </si>
  <si>
    <t xml:space="preserve">Net Pay to owner = Days x Rate Paid to Owner - Maintenance Deduction.</t>
  </si>
  <si>
    <t xml:space="preserve">Maintenance is deducted only when 'Who Bears Cost' on the Vehicles sheet is 'Owner (deducted)'; 'Company' means we absorb it.</t>
  </si>
  <si>
    <t xml:space="preserve">A vehicle with several rentals in one month would have its maintenance deducted on each rental row; keep one rental row per vehicle per month.</t>
  </si>
  <si>
    <t xml:space="preserve">Service interval (km) on Vehicles is a sample value: 5,000 for oil change, 10,000 for tyre and brake work.</t>
  </si>
  <si>
    <t xml:space="preserve">Month is stored as text like 'Oct 2026' and must match exactly across sheets.</t>
  </si>
  <si>
    <t xml:space="preserve">Vehicle Loans and Vehicle Market Values</t>
  </si>
  <si>
    <t xml:space="preserve">Vehicle Loans: one row per loan (amount, rate, term, start date). Installment, interest, balance and end date calculate automatically.</t>
  </si>
  <si>
    <t xml:space="preserve">Vehicle Market Values: buying price and current market value per vehicle, plus the loan, maintenance and a Suggested Daily Rate to compare with the rate you charge.</t>
  </si>
  <si>
    <t xml:space="preserve">The two yellow assumption cells (rental days, target return) on Vehicle Market Values drive the Suggested Daily Rate.</t>
  </si>
  <si>
    <t xml:space="preserve">Owner ID</t>
  </si>
  <si>
    <t xml:space="preserve">Owner Name</t>
  </si>
  <si>
    <t xml:space="preserve">Phone</t>
  </si>
  <si>
    <t xml:space="preserve">Bank Account</t>
  </si>
  <si>
    <t xml:space="preserve">O01</t>
  </si>
  <si>
    <t xml:space="preserve">Mr. Perera</t>
  </si>
  <si>
    <t xml:space="preserve">077 111 1111</t>
  </si>
  <si>
    <t xml:space="preserve">1234567</t>
  </si>
  <si>
    <t xml:space="preserve">O02</t>
  </si>
  <si>
    <t xml:space="preserve">Mrs. Silva</t>
  </si>
  <si>
    <t xml:space="preserve">071 222 2222</t>
  </si>
  <si>
    <t xml:space="preserve">2345678</t>
  </si>
  <si>
    <t xml:space="preserve">O03</t>
  </si>
  <si>
    <t xml:space="preserve">Mr. Fernando</t>
  </si>
  <si>
    <t xml:space="preserve">070 333 3333</t>
  </si>
  <si>
    <t xml:space="preserve">3456789</t>
  </si>
  <si>
    <t xml:space="preserve">Vehicle No</t>
  </si>
  <si>
    <t xml:space="preserve">Vehicle</t>
  </si>
  <si>
    <t xml:space="preserve">Rate Paid to Owner (per day)</t>
  </si>
  <si>
    <t xml:space="preserve">Rate Charged to Renter (per day)</t>
  </si>
  <si>
    <t xml:space="preserve">Odometer Start of Month (km)</t>
  </si>
  <si>
    <t xml:space="preserve">Odometer End of Month (km)</t>
  </si>
  <si>
    <t xml:space="preserve">Mileage This Month (km)</t>
  </si>
  <si>
    <t xml:space="preserve">Total Mileage (km)</t>
  </si>
  <si>
    <t xml:space="preserve">Maintenance Type</t>
  </si>
  <si>
    <t xml:space="preserve">Last Service Date</t>
  </si>
  <si>
    <t xml:space="preserve">Mileage at Last Service (km)</t>
  </si>
  <si>
    <t xml:space="preserve">Service Interval (km)</t>
  </si>
  <si>
    <t xml:space="preserve">Maintenance Cost This Month</t>
  </si>
  <si>
    <t xml:space="preserve">Who Bears Cost</t>
  </si>
  <si>
    <t xml:space="preserve">Next Service Due (Date)</t>
  </si>
  <si>
    <t xml:space="preserve">Next Service Due (km)</t>
  </si>
  <si>
    <t xml:space="preserve">Service Status</t>
  </si>
  <si>
    <t xml:space="preserve">V001</t>
  </si>
  <si>
    <t xml:space="preserve">Toyota Axio</t>
  </si>
  <si>
    <t xml:space="preserve">Oil change</t>
  </si>
  <si>
    <t xml:space="preserve">Owner (deducted)</t>
  </si>
  <si>
    <t xml:space="preserve">V002</t>
  </si>
  <si>
    <t xml:space="preserve">Suzuki Wagon R</t>
  </si>
  <si>
    <t xml:space="preserve">Tyre repair</t>
  </si>
  <si>
    <t xml:space="preserve">V003</t>
  </si>
  <si>
    <t xml:space="preserve">Nissan Caravan</t>
  </si>
  <si>
    <t xml:space="preserve">Brake service</t>
  </si>
  <si>
    <t xml:space="preserve">TOTAL</t>
  </si>
  <si>
    <t xml:space="preserve">Maintenance cost this month is for the month typed in 'Monthly Summary'!A2 (Oct 2026). 'Service due soon' = within 500 km of next service (assumption).</t>
  </si>
  <si>
    <t xml:space="preserve">Mileage columns G and H are for the same month as above; update them each month.</t>
  </si>
  <si>
    <t xml:space="preserve">Loan ID</t>
  </si>
  <si>
    <t xml:space="preserve">Lender</t>
  </si>
  <si>
    <t xml:space="preserve">Loan Amount</t>
  </si>
  <si>
    <t xml:space="preserve">Annual Interest Rate</t>
  </si>
  <si>
    <t xml:space="preserve">Term (months)</t>
  </si>
  <si>
    <t xml:space="preserve">Start Date</t>
  </si>
  <si>
    <t xml:space="preserve">Monthly Installment</t>
  </si>
  <si>
    <t xml:space="preserve">Total Repayment</t>
  </si>
  <si>
    <t xml:space="preserve">Total Interest</t>
  </si>
  <si>
    <t xml:space="preserve">Installments Paid</t>
  </si>
  <si>
    <t xml:space="preserve">Installments Remaining</t>
  </si>
  <si>
    <t xml:space="preserve">Amount Paid So Far</t>
  </si>
  <si>
    <t xml:space="preserve">Outstanding Balance (principal)</t>
  </si>
  <si>
    <t xml:space="preserve">Loan End Date</t>
  </si>
  <si>
    <t xml:space="preserve">L01</t>
  </si>
  <si>
    <t xml:space="preserve">Bank A</t>
  </si>
  <si>
    <t xml:space="preserve">L02</t>
  </si>
  <si>
    <t xml:space="preserve">Bank B</t>
  </si>
  <si>
    <t xml:space="preserve">L03</t>
  </si>
  <si>
    <t xml:space="preserve">Leasing Co C</t>
  </si>
  <si>
    <t xml:space="preserve">Sample data. Monthly Installment = standard reducing-balance (PMT) formula. Outstanding Balance = principal still owed after the Installments Paid you type (update it each month).</t>
  </si>
  <si>
    <t xml:space="preserve">Assumes monthly payments at the same rate for the whole term. Check your bank/leasing statement for the exact balance, as fees and rate changes are not included.</t>
  </si>
  <si>
    <t xml:space="preserve">Year of Manufacture</t>
  </si>
  <si>
    <t xml:space="preserve">Buying Price (LKR)</t>
  </si>
  <si>
    <t xml:space="preserve">Buying Date</t>
  </si>
  <si>
    <t xml:space="preserve">Current Market Value</t>
  </si>
  <si>
    <t xml:space="preserve">Valuation Date</t>
  </si>
  <si>
    <t xml:space="preserve">Value Lost (Depreciation)</t>
  </si>
  <si>
    <t xml:space="preserve">Depreciation %</t>
  </si>
  <si>
    <t xml:space="preserve">Loan Outstanding</t>
  </si>
  <si>
    <t xml:space="preserve">Equity (Market Value - Loan)</t>
  </si>
  <si>
    <t xml:space="preserve">Monthly Loan Installment</t>
  </si>
  <si>
    <t xml:space="preserve">Monthly Maintenance</t>
  </si>
  <si>
    <t xml:space="preserve">Break-even Daily Rate</t>
  </si>
  <si>
    <t xml:space="preserve">Suggested Daily Rate</t>
  </si>
  <si>
    <t xml:space="preserve">Current Daily Rate Charged</t>
  </si>
  <si>
    <t xml:space="preserve">Difference (Current - Suggested)</t>
  </si>
  <si>
    <t xml:space="preserve">Rate Check</t>
  </si>
  <si>
    <t xml:space="preserve">Assumptions (change the yellow cells)</t>
  </si>
  <si>
    <t xml:space="preserve">Rental days per vehicle per month</t>
  </si>
  <si>
    <t xml:space="preserve">Assumed days a vehicle is rented in a month (20 = about two-thirds of the month). Sample value.</t>
  </si>
  <si>
    <t xml:space="preserve">Target monthly return on market value</t>
  </si>
  <si>
    <t xml:space="preserve">Profit you want each month as a share of the vehicle's market value (1% = about 12% a year). Sample value.</t>
  </si>
  <si>
    <t xml:space="preserve">Break-even Daily Rate = (Monthly Loan Installment + Monthly Maintenance) / Rental days.</t>
  </si>
  <si>
    <t xml:space="preserve">Suggested Daily Rate = Break-even + (Market Value x Target return) / Rental days.</t>
  </si>
  <si>
    <t xml:space="preserve">Buying price, market value, year and dates are sample data: use dealer quotes or recent sale listings for the real market value, and update it from time to time.</t>
  </si>
  <si>
    <t xml:space="preserve">Renter ID</t>
  </si>
  <si>
    <t xml:space="preserve">Name</t>
  </si>
  <si>
    <t xml:space="preserve">Type</t>
  </si>
  <si>
    <t xml:space="preserve">R01</t>
  </si>
  <si>
    <t xml:space="preserve">Nimal</t>
  </si>
  <si>
    <t xml:space="preserve">Person</t>
  </si>
  <si>
    <t xml:space="preserve">077 444 4444</t>
  </si>
  <si>
    <t xml:space="preserve">R02</t>
  </si>
  <si>
    <t xml:space="preserve">Kamal Ltd</t>
  </si>
  <si>
    <t xml:space="preserve">Company</t>
  </si>
  <si>
    <t xml:space="preserve">011 555 5555</t>
  </si>
  <si>
    <t xml:space="preserve">R03</t>
  </si>
  <si>
    <t xml:space="preserve">ABC Travels</t>
  </si>
  <si>
    <t xml:space="preserve">011 666 6666</t>
  </si>
  <si>
    <t xml:space="preserve">Company ID</t>
  </si>
  <si>
    <t xml:space="preserve">Company Name</t>
  </si>
  <si>
    <t xml:space="preserve">Contact Person</t>
  </si>
  <si>
    <t xml:space="preserve">Email</t>
  </si>
  <si>
    <t xml:space="preserve">Address</t>
  </si>
  <si>
    <t xml:space="preserve">Payment Terms (days)</t>
  </si>
  <si>
    <t xml:space="preserve">Total Billed</t>
  </si>
  <si>
    <t xml:space="preserve">Amount Received</t>
  </si>
  <si>
    <t xml:space="preserve">Cash Still to Receive</t>
  </si>
  <si>
    <t xml:space="preserve">C01</t>
  </si>
  <si>
    <t xml:space="preserve">Mr. Jayasuriya</t>
  </si>
  <si>
    <t xml:space="preserve">accounts@kamal.example</t>
  </si>
  <si>
    <t xml:space="preserve">Colombo 03</t>
  </si>
  <si>
    <t xml:space="preserve">C02</t>
  </si>
  <si>
    <t xml:space="preserve">Ms. Fonseka</t>
  </si>
  <si>
    <t xml:space="preserve">finance@abctravels.example</t>
  </si>
  <si>
    <t xml:space="preserve">Kandy</t>
  </si>
  <si>
    <t xml:space="preserve">Company ID, contact details and payment terms are sample data. Renter ID must match a Company in the Renters sheet; totals cover all months.</t>
  </si>
  <si>
    <t xml:space="preserve">Rental ID</t>
  </si>
  <si>
    <t xml:space="preserve">Month</t>
  </si>
  <si>
    <t xml:space="preserve">Days Rented</t>
  </si>
  <si>
    <t xml:space="preserve">RT01</t>
  </si>
  <si>
    <t xml:space="preserve">Oct 2026</t>
  </si>
  <si>
    <t xml:space="preserve">RT02</t>
  </si>
  <si>
    <t xml:space="preserve">RT03</t>
  </si>
  <si>
    <t xml:space="preserve">Maint ID</t>
  </si>
  <si>
    <t xml:space="preserve">Description</t>
  </si>
  <si>
    <t xml:space="preserve">Cost (LKR)</t>
  </si>
  <si>
    <t xml:space="preserve">M01</t>
  </si>
  <si>
    <t xml:space="preserve">M02</t>
  </si>
  <si>
    <t xml:space="preserve">M03</t>
  </si>
  <si>
    <t xml:space="preserve">Owner</t>
  </si>
  <si>
    <t xml:space="preserve">Days</t>
  </si>
  <si>
    <t xml:space="preserve">Gross Pay</t>
  </si>
  <si>
    <t xml:space="preserve">Maintenance Deduction</t>
  </si>
  <si>
    <t xml:space="preserve">Net Pay</t>
  </si>
  <si>
    <t xml:space="preserve">Amount Paid</t>
  </si>
  <si>
    <t xml:space="preserve">Still to Pay</t>
  </si>
  <si>
    <t xml:space="preserve">Renter</t>
  </si>
  <si>
    <t xml:space="preserve">Received</t>
  </si>
  <si>
    <t xml:space="preserve">Still to Receive</t>
  </si>
  <si>
    <t xml:space="preserve">Owner Net Pay</t>
  </si>
  <si>
    <t xml:space="preserve">Paid to Owners</t>
  </si>
  <si>
    <t xml:space="preserve">Still to Pay Owners</t>
  </si>
  <si>
    <t xml:space="preserve">Our Profit (Billed - Owner Net Pay)</t>
  </si>
  <si>
    <t xml:space="preserve">Cash Position (Received - Paid to Owners)</t>
  </si>
  <si>
    <t xml:space="preserve">Nov 2026</t>
  </si>
  <si>
    <t xml:space="preserve">Dec 2026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</si>
</sst>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#,##0"/>
    <numFmt numFmtId="167" formatCode="dd\ mmm\ yyyy"/>
    <numFmt numFmtId="168" formatCode="#,##0;\(#,##0\);\-"/>
    <numFmt numFmtId="169" formatCode="0.0%"/>
    <numFmt numFmtId="170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C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/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3" t="s">
        <v>3</v>
      </c>
    </row>
    <row r="6" customFormat="false" ht="15" hidden="false" customHeight="true" outlineLevel="0" collapsed="false">
      <c r="A6" s="3" t="s">
        <v>4</v>
      </c>
    </row>
    <row r="7" customFormat="false" ht="15" hidden="false" customHeight="true" outlineLevel="0" collapsed="false">
      <c r="A7" s="3" t="s">
        <v>5</v>
      </c>
    </row>
    <row r="8" customFormat="false" ht="15" hidden="false" customHeight="true" outlineLevel="0" collapsed="false">
      <c r="A8" s="3"/>
    </row>
    <row r="9" customFormat="false" ht="15" hidden="false" customHeight="true" outlineLevel="0" collapsed="false">
      <c r="A9" s="4" t="s">
        <v>6</v>
      </c>
    </row>
    <row r="10" customFormat="false" ht="15" hidden="false" customHeight="true" outlineLevel="0" collapsed="false">
      <c r="A10" s="3" t="s">
        <v>7</v>
      </c>
    </row>
    <row r="11" customFormat="false" ht="15" hidden="false" customHeight="true" outlineLevel="0" collapsed="false">
      <c r="A11" s="3" t="s">
        <v>8</v>
      </c>
    </row>
    <row r="12" customFormat="false" ht="15" hidden="false" customHeight="true" outlineLevel="0" collapsed="false">
      <c r="A12" s="3" t="s">
        <v>9</v>
      </c>
    </row>
    <row r="13" customFormat="false" ht="15" hidden="false" customHeight="true" outlineLevel="0" collapsed="false">
      <c r="A13" s="3" t="s">
        <v>10</v>
      </c>
    </row>
    <row r="14" customFormat="false" ht="15" hidden="false" customHeight="true" outlineLevel="0" collapsed="false">
      <c r="A14" s="3"/>
    </row>
    <row r="15" customFormat="false" ht="15" hidden="false" customHeight="true" outlineLevel="0" collapsed="false">
      <c r="A15" s="4" t="s">
        <v>11</v>
      </c>
    </row>
    <row r="16" customFormat="false" ht="15" hidden="false" customHeight="true" outlineLevel="0" collapsed="false">
      <c r="A16" s="3" t="s">
        <v>12</v>
      </c>
    </row>
    <row r="17" customFormat="false" ht="15" hidden="false" customHeight="true" outlineLevel="0" collapsed="false">
      <c r="A17" s="3" t="s">
        <v>13</v>
      </c>
    </row>
    <row r="18" customFormat="false" ht="15" hidden="false" customHeight="true" outlineLevel="0" collapsed="false">
      <c r="A18" s="3"/>
    </row>
    <row r="19" customFormat="false" ht="15" hidden="false" customHeight="true" outlineLevel="0" collapsed="false">
      <c r="A19" s="4" t="s">
        <v>14</v>
      </c>
    </row>
    <row r="20" customFormat="false" ht="15" hidden="false" customHeight="true" outlineLevel="0" collapsed="false">
      <c r="A20" s="3" t="s">
        <v>15</v>
      </c>
    </row>
    <row r="21" customFormat="false" ht="15" hidden="false" customHeight="true" outlineLevel="0" collapsed="false">
      <c r="A21" s="3" t="s">
        <v>16</v>
      </c>
    </row>
    <row r="22" customFormat="false" ht="15" hidden="false" customHeight="true" outlineLevel="0" collapsed="false">
      <c r="A22" s="3" t="s">
        <v>17</v>
      </c>
    </row>
    <row r="23" customFormat="false" ht="15" hidden="false" customHeight="true" outlineLevel="0" collapsed="false">
      <c r="A23" s="3" t="s">
        <v>18</v>
      </c>
    </row>
    <row r="24" customFormat="false" ht="15" hidden="false" customHeight="true" outlineLevel="0" collapsed="false">
      <c r="A24" s="3" t="s">
        <v>19</v>
      </c>
    </row>
    <row r="25" customFormat="false" ht="15" hidden="false" customHeight="false" outlineLevel="0" collapsed="false">
      <c r="A25" s="5"/>
    </row>
    <row r="26" customFormat="false" ht="15" hidden="false" customHeight="false" outlineLevel="0" collapsed="false">
      <c r="A26" s="6" t="s">
        <v>20</v>
      </c>
    </row>
    <row r="27" customFormat="false" ht="15" hidden="false" customHeight="false" outlineLevel="0" collapsed="false">
      <c r="A27" s="5" t="s">
        <v>21</v>
      </c>
    </row>
    <row r="28" customFormat="false" ht="15" hidden="false" customHeight="false" outlineLevel="0" collapsed="false">
      <c r="A28" s="5" t="s">
        <v>22</v>
      </c>
    </row>
    <row r="29" customFormat="false" ht="15" hidden="false" customHeight="false" outlineLevel="0" collapsed="false">
      <c r="A29" s="5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4" min="3" style="1" width="18"/>
  </cols>
  <sheetData>
    <row r="1" customFormat="false" ht="48" hidden="false" customHeight="true" outlineLevel="0" collapsed="false">
      <c r="A1" s="7" t="s">
        <v>24</v>
      </c>
      <c r="B1" s="7" t="s">
        <v>25</v>
      </c>
      <c r="C1" s="7" t="s">
        <v>26</v>
      </c>
      <c r="D1" s="7" t="s">
        <v>27</v>
      </c>
    </row>
    <row r="2" customFormat="false" ht="15" hidden="false" customHeight="true" outlineLevel="0" collapsed="false">
      <c r="A2" s="8" t="s">
        <v>28</v>
      </c>
      <c r="B2" s="8" t="s">
        <v>29</v>
      </c>
      <c r="C2" s="8" t="s">
        <v>30</v>
      </c>
      <c r="D2" s="8" t="s">
        <v>31</v>
      </c>
    </row>
    <row r="3" customFormat="false" ht="15" hidden="false" customHeight="true" outlineLevel="0" collapsed="false">
      <c r="A3" s="8" t="s">
        <v>32</v>
      </c>
      <c r="B3" s="8" t="s">
        <v>33</v>
      </c>
      <c r="C3" s="8" t="s">
        <v>34</v>
      </c>
      <c r="D3" s="8" t="s">
        <v>35</v>
      </c>
    </row>
    <row r="4" customFormat="false" ht="15" hidden="false" customHeight="true" outlineLevel="0" collapsed="false">
      <c r="A4" s="8" t="s">
        <v>36</v>
      </c>
      <c r="B4" s="8" t="s">
        <v>37</v>
      </c>
      <c r="C4" s="8" t="s">
        <v>38</v>
      </c>
      <c r="D4" s="8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8"/>
    <col collapsed="false" customWidth="true" hidden="false" outlineLevel="0" max="3" min="3" style="1" width="10"/>
    <col collapsed="false" customWidth="true" hidden="false" outlineLevel="0" max="4" min="4" style="1" width="16"/>
    <col collapsed="false" customWidth="true" hidden="false" outlineLevel="0" max="8" min="5" style="1" width="14"/>
    <col collapsed="false" customWidth="true" hidden="false" outlineLevel="0" max="10" min="9" style="1" width="13"/>
    <col collapsed="false" customWidth="true" hidden="false" outlineLevel="0" max="11" min="11" style="1" width="16"/>
    <col collapsed="false" customWidth="true" hidden="false" outlineLevel="0" max="12" min="12" style="1" width="14"/>
    <col collapsed="false" customWidth="true" hidden="false" outlineLevel="0" max="13" min="13" style="1" width="15"/>
    <col collapsed="false" customWidth="true" hidden="false" outlineLevel="0" max="14" min="14" style="1" width="12"/>
    <col collapsed="false" customWidth="true" hidden="false" outlineLevel="0" max="15" min="15" style="1" width="15"/>
    <col collapsed="false" customWidth="true" hidden="false" outlineLevel="0" max="16" min="16" style="1" width="17"/>
    <col collapsed="false" customWidth="true" hidden="false" outlineLevel="0" max="17" min="17" style="1" width="15"/>
    <col collapsed="false" customWidth="true" hidden="false" outlineLevel="0" max="18" min="18" style="1" width="14"/>
    <col collapsed="false" customWidth="true" hidden="false" outlineLevel="0" max="19" min="19" style="1" width="18"/>
  </cols>
  <sheetData>
    <row r="1" customFormat="false" ht="48" hidden="false" customHeight="true" outlineLevel="0" collapsed="false">
      <c r="A1" s="7" t="s">
        <v>40</v>
      </c>
      <c r="B1" s="7" t="s">
        <v>41</v>
      </c>
      <c r="C1" s="7" t="s">
        <v>24</v>
      </c>
      <c r="D1" s="7" t="s">
        <v>25</v>
      </c>
      <c r="E1" s="7" t="s">
        <v>42</v>
      </c>
      <c r="F1" s="7" t="s">
        <v>43</v>
      </c>
      <c r="G1" s="7" t="s">
        <v>44</v>
      </c>
      <c r="H1" s="7" t="s">
        <v>45</v>
      </c>
      <c r="I1" s="7" t="s">
        <v>46</v>
      </c>
      <c r="J1" s="7" t="s">
        <v>47</v>
      </c>
      <c r="K1" s="7" t="s">
        <v>48</v>
      </c>
      <c r="L1" s="7" t="s">
        <v>49</v>
      </c>
      <c r="M1" s="7" t="s">
        <v>50</v>
      </c>
      <c r="N1" s="7" t="s">
        <v>51</v>
      </c>
      <c r="O1" s="7" t="s">
        <v>52</v>
      </c>
      <c r="P1" s="7" t="s">
        <v>53</v>
      </c>
      <c r="Q1" s="7" t="s">
        <v>54</v>
      </c>
      <c r="R1" s="7" t="s">
        <v>55</v>
      </c>
      <c r="S1" s="7" t="s">
        <v>56</v>
      </c>
    </row>
    <row r="2" customFormat="false" ht="15" hidden="false" customHeight="true" outlineLevel="0" collapsed="false">
      <c r="A2" s="8" t="s">
        <v>57</v>
      </c>
      <c r="B2" s="8" t="s">
        <v>58</v>
      </c>
      <c r="C2" s="8" t="s">
        <v>28</v>
      </c>
      <c r="D2" s="9" t="str">
        <f aca="false">INDEX(Owners!$B$2:$B$200,MATCH(C2,Owners!$A$2:$A$200,0))</f>
        <v>Mr. Perera</v>
      </c>
      <c r="E2" s="10" t="n">
        <v>6000</v>
      </c>
      <c r="F2" s="10" t="n">
        <v>8000</v>
      </c>
      <c r="G2" s="11" t="n">
        <v>45200</v>
      </c>
      <c r="H2" s="11" t="n">
        <v>46100</v>
      </c>
      <c r="I2" s="12" t="n">
        <f aca="false">H2-G2</f>
        <v>900</v>
      </c>
      <c r="J2" s="12" t="n">
        <f aca="false">H2</f>
        <v>46100</v>
      </c>
      <c r="K2" s="8" t="s">
        <v>59</v>
      </c>
      <c r="L2" s="13" t="n">
        <v>46300</v>
      </c>
      <c r="M2" s="11" t="n">
        <v>45500</v>
      </c>
      <c r="N2" s="11" t="n">
        <v>5000</v>
      </c>
      <c r="O2" s="14" t="n">
        <f aca="false">SUMIFS(Maintenance!$E$2:$E$200,Maintenance!$B$2:$B$200,A2,Maintenance!$C$2:$C$200,'Monthly Summary'!$A$2)</f>
        <v>2000</v>
      </c>
      <c r="P2" s="8" t="s">
        <v>60</v>
      </c>
      <c r="Q2" s="13" t="n">
        <v>46392</v>
      </c>
      <c r="R2" s="12" t="n">
        <f aca="false">M2+N2</f>
        <v>50500</v>
      </c>
      <c r="S2" s="15" t="str">
        <f aca="false">IF(J2&gt;=R2,"SERVICE OVERDUE",IF(R2-J2&lt;=500,"Service due soon","OK"))</f>
        <v>OK</v>
      </c>
    </row>
    <row r="3" customFormat="false" ht="15" hidden="false" customHeight="true" outlineLevel="0" collapsed="false">
      <c r="A3" s="8" t="s">
        <v>61</v>
      </c>
      <c r="B3" s="8" t="s">
        <v>62</v>
      </c>
      <c r="C3" s="8" t="s">
        <v>32</v>
      </c>
      <c r="D3" s="9" t="str">
        <f aca="false">INDEX(Owners!$B$2:$B$200,MATCH(C3,Owners!$A$2:$A$200,0))</f>
        <v>Mrs. Silva</v>
      </c>
      <c r="E3" s="10" t="n">
        <v>4000</v>
      </c>
      <c r="F3" s="10" t="n">
        <v>5500</v>
      </c>
      <c r="G3" s="11" t="n">
        <v>31000</v>
      </c>
      <c r="H3" s="11" t="n">
        <v>32300</v>
      </c>
      <c r="I3" s="12" t="n">
        <f aca="false">H3-G3</f>
        <v>1300</v>
      </c>
      <c r="J3" s="12" t="n">
        <f aca="false">H3</f>
        <v>32300</v>
      </c>
      <c r="K3" s="8" t="s">
        <v>63</v>
      </c>
      <c r="L3" s="13" t="n">
        <v>46307</v>
      </c>
      <c r="M3" s="11" t="n">
        <v>31600</v>
      </c>
      <c r="N3" s="11" t="n">
        <v>10000</v>
      </c>
      <c r="O3" s="14" t="n">
        <f aca="false">SUMIFS(Maintenance!$E$2:$E$200,Maintenance!$B$2:$B$200,A3,Maintenance!$C$2:$C$200,'Monthly Summary'!$A$2)</f>
        <v>3000</v>
      </c>
      <c r="P3" s="8" t="s">
        <v>60</v>
      </c>
      <c r="Q3" s="13" t="n">
        <v>46489</v>
      </c>
      <c r="R3" s="12" t="n">
        <f aca="false">M3+N3</f>
        <v>41600</v>
      </c>
      <c r="S3" s="15" t="str">
        <f aca="false">IF(J3&gt;=R3,"SERVICE OVERDUE",IF(R3-J3&lt;=500,"Service due soon","OK"))</f>
        <v>OK</v>
      </c>
    </row>
    <row r="4" customFormat="false" ht="15" hidden="false" customHeight="true" outlineLevel="0" collapsed="false">
      <c r="A4" s="8" t="s">
        <v>64</v>
      </c>
      <c r="B4" s="8" t="s">
        <v>65</v>
      </c>
      <c r="C4" s="8" t="s">
        <v>36</v>
      </c>
      <c r="D4" s="9" t="str">
        <f aca="false">INDEX(Owners!$B$2:$B$200,MATCH(C4,Owners!$A$2:$A$200,0))</f>
        <v>Mr. Fernando</v>
      </c>
      <c r="E4" s="10" t="n">
        <v>9000</v>
      </c>
      <c r="F4" s="10" t="n">
        <v>12000</v>
      </c>
      <c r="G4" s="11" t="n">
        <v>78400</v>
      </c>
      <c r="H4" s="11" t="n">
        <v>80200</v>
      </c>
      <c r="I4" s="12" t="n">
        <f aca="false">H4-G4</f>
        <v>1800</v>
      </c>
      <c r="J4" s="12" t="n">
        <f aca="false">H4</f>
        <v>80200</v>
      </c>
      <c r="K4" s="8" t="s">
        <v>66</v>
      </c>
      <c r="L4" s="13" t="n">
        <v>46313</v>
      </c>
      <c r="M4" s="11" t="n">
        <v>79100</v>
      </c>
      <c r="N4" s="11" t="n">
        <v>10000</v>
      </c>
      <c r="O4" s="14" t="n">
        <f aca="false">SUMIFS(Maintenance!$E$2:$E$200,Maintenance!$B$2:$B$200,A4,Maintenance!$C$2:$C$200,'Monthly Summary'!$A$2)</f>
        <v>5000</v>
      </c>
      <c r="P4" s="8" t="s">
        <v>60</v>
      </c>
      <c r="Q4" s="13" t="n">
        <v>46495</v>
      </c>
      <c r="R4" s="12" t="n">
        <f aca="false">M4+N4</f>
        <v>89100</v>
      </c>
      <c r="S4" s="15" t="str">
        <f aca="false">IF(J4&gt;=R4,"SERVICE OVERDUE",IF(R4-J4&lt;=500,"Service due soon","OK"))</f>
        <v>OK</v>
      </c>
    </row>
    <row r="6" customFormat="false" ht="15" hidden="false" customHeight="true" outlineLevel="0" collapsed="false">
      <c r="A6" s="16" t="s">
        <v>67</v>
      </c>
      <c r="B6" s="16"/>
      <c r="C6" s="16"/>
      <c r="D6" s="16"/>
      <c r="E6" s="16"/>
      <c r="F6" s="16"/>
      <c r="G6" s="16"/>
      <c r="H6" s="16"/>
      <c r="I6" s="17" t="n">
        <f aca="false">SUM(I2:I5)</f>
        <v>4000</v>
      </c>
      <c r="J6" s="16"/>
      <c r="K6" s="16"/>
      <c r="L6" s="16"/>
      <c r="M6" s="16"/>
      <c r="N6" s="16"/>
      <c r="O6" s="18" t="n">
        <f aca="false">SUM(O2:O5)</f>
        <v>10000</v>
      </c>
      <c r="P6" s="16"/>
      <c r="Q6" s="16"/>
      <c r="R6" s="16"/>
      <c r="S6" s="16"/>
    </row>
    <row r="8" customFormat="false" ht="15" hidden="false" customHeight="true" outlineLevel="0" collapsed="false">
      <c r="A8" s="19" t="s">
        <v>68</v>
      </c>
    </row>
    <row r="9" customFormat="false" ht="15" hidden="false" customHeight="true" outlineLevel="0" collapsed="false">
      <c r="A9" s="19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18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13"/>
    <col collapsed="false" customWidth="true" hidden="false" outlineLevel="0" max="10" min="9" style="0" width="14"/>
    <col collapsed="false" customWidth="true" hidden="false" outlineLevel="0" max="11" min="11" style="0" width="13"/>
    <col collapsed="false" customWidth="true" hidden="false" outlineLevel="0" max="12" min="12" style="0" width="12"/>
    <col collapsed="false" customWidth="true" hidden="false" outlineLevel="0" max="13" min="13" style="0" width="13"/>
    <col collapsed="false" customWidth="true" hidden="false" outlineLevel="0" max="14" min="14" style="0" width="14"/>
    <col collapsed="false" customWidth="true" hidden="false" outlineLevel="0" max="15" min="15" style="0" width="16"/>
    <col collapsed="false" customWidth="true" hidden="false" outlineLevel="0" max="16" min="16" style="0" width="13"/>
  </cols>
  <sheetData>
    <row r="1" customFormat="false" ht="51.75" hidden="false" customHeight="true" outlineLevel="0" collapsed="false">
      <c r="A1" s="7" t="s">
        <v>70</v>
      </c>
      <c r="B1" s="7" t="s">
        <v>40</v>
      </c>
      <c r="C1" s="7" t="s">
        <v>41</v>
      </c>
      <c r="D1" s="7" t="s">
        <v>71</v>
      </c>
      <c r="E1" s="7" t="s">
        <v>72</v>
      </c>
      <c r="F1" s="7" t="s">
        <v>73</v>
      </c>
      <c r="G1" s="7" t="s">
        <v>74</v>
      </c>
      <c r="H1" s="7" t="s">
        <v>75</v>
      </c>
      <c r="I1" s="7" t="s">
        <v>76</v>
      </c>
      <c r="J1" s="7" t="s">
        <v>77</v>
      </c>
      <c r="K1" s="7" t="s">
        <v>78</v>
      </c>
      <c r="L1" s="7" t="s">
        <v>79</v>
      </c>
      <c r="M1" s="7" t="s">
        <v>80</v>
      </c>
      <c r="N1" s="7" t="s">
        <v>81</v>
      </c>
      <c r="O1" s="7" t="s">
        <v>82</v>
      </c>
      <c r="P1" s="7" t="s">
        <v>83</v>
      </c>
    </row>
    <row r="2" customFormat="false" ht="15" hidden="false" customHeight="false" outlineLevel="0" collapsed="false">
      <c r="A2" s="20" t="s">
        <v>84</v>
      </c>
      <c r="B2" s="20" t="s">
        <v>57</v>
      </c>
      <c r="C2" s="21" t="str">
        <f aca="false">INDEX(Vehicles!$B$2:$B$5,MATCH(B2,Vehicles!$A$2:$A$5,0))</f>
        <v>Toyota Axio</v>
      </c>
      <c r="D2" s="20" t="s">
        <v>85</v>
      </c>
      <c r="E2" s="22" t="n">
        <v>3000000</v>
      </c>
      <c r="F2" s="23" t="n">
        <v>0.12</v>
      </c>
      <c r="G2" s="20" t="n">
        <v>60</v>
      </c>
      <c r="H2" s="24" t="n">
        <v>46037</v>
      </c>
      <c r="I2" s="25" t="n">
        <f aca="false">IF(F2=0,E2/G2,PMT(F2/12,G2,-E2))</f>
        <v>66733.3430547053</v>
      </c>
      <c r="J2" s="25" t="n">
        <f aca="false">I2*G2</f>
        <v>4004000.58328232</v>
      </c>
      <c r="K2" s="25" t="n">
        <f aca="false">J2-E2</f>
        <v>1004000.58328232</v>
      </c>
      <c r="L2" s="20" t="n">
        <v>10</v>
      </c>
      <c r="M2" s="26" t="n">
        <f aca="false">G2-L2</f>
        <v>50</v>
      </c>
      <c r="N2" s="25" t="n">
        <f aca="false">I2*L2</f>
        <v>667333.430547053</v>
      </c>
      <c r="O2" s="25" t="n">
        <f aca="false">IF(L2&gt;=G2,0,IF(F2=0,E2-I2*L2,FV(F2/12,L2,I2,-E2)))</f>
        <v>2615687.95761578</v>
      </c>
      <c r="P2" s="27" t="n">
        <f aca="false">EDATE(H2,G2)</f>
        <v>47863</v>
      </c>
    </row>
    <row r="3" customFormat="false" ht="15" hidden="false" customHeight="false" outlineLevel="0" collapsed="false">
      <c r="A3" s="20" t="s">
        <v>86</v>
      </c>
      <c r="B3" s="20" t="s">
        <v>61</v>
      </c>
      <c r="C3" s="21" t="str">
        <f aca="false">INDEX(Vehicles!$B$2:$B$5,MATCH(B3,Vehicles!$A$2:$A$5,0))</f>
        <v>Suzuki Wagon R</v>
      </c>
      <c r="D3" s="20" t="s">
        <v>87</v>
      </c>
      <c r="E3" s="22" t="n">
        <v>2000000</v>
      </c>
      <c r="F3" s="23" t="n">
        <v>0.11</v>
      </c>
      <c r="G3" s="20" t="n">
        <v>48</v>
      </c>
      <c r="H3" s="24" t="n">
        <v>46096</v>
      </c>
      <c r="I3" s="25" t="n">
        <f aca="false">IF(F3=0,E3/G3,PMT(F3/12,G3,-E3))</f>
        <v>51691.0452229056</v>
      </c>
      <c r="J3" s="25" t="n">
        <f aca="false">I3*G3</f>
        <v>2481170.17069947</v>
      </c>
      <c r="K3" s="25" t="n">
        <f aca="false">J3-E3</f>
        <v>481170.17069947</v>
      </c>
      <c r="L3" s="20" t="n">
        <v>8</v>
      </c>
      <c r="M3" s="26" t="n">
        <f aca="false">G3-L3</f>
        <v>40</v>
      </c>
      <c r="N3" s="25" t="n">
        <f aca="false">I3*L3</f>
        <v>413528.361783245</v>
      </c>
      <c r="O3" s="25" t="n">
        <f aca="false">IF(L3&gt;=G3,0,IF(F3=0,E3-I3*L3,FV(F3/12,L3,I3,-E3)))</f>
        <v>1724417.71377319</v>
      </c>
      <c r="P3" s="27" t="n">
        <f aca="false">EDATE(H3,G3)</f>
        <v>47557</v>
      </c>
    </row>
    <row r="4" customFormat="false" ht="15" hidden="false" customHeight="false" outlineLevel="0" collapsed="false">
      <c r="A4" s="20" t="s">
        <v>88</v>
      </c>
      <c r="B4" s="20" t="s">
        <v>64</v>
      </c>
      <c r="C4" s="21" t="str">
        <f aca="false">INDEX(Vehicles!$B$2:$B$5,MATCH(B4,Vehicles!$A$2:$A$5,0))</f>
        <v>Nissan Caravan</v>
      </c>
      <c r="D4" s="20" t="s">
        <v>89</v>
      </c>
      <c r="E4" s="22" t="n">
        <v>6000000</v>
      </c>
      <c r="F4" s="23" t="n">
        <v>0.13</v>
      </c>
      <c r="G4" s="20" t="n">
        <v>72</v>
      </c>
      <c r="H4" s="24" t="n">
        <v>46188</v>
      </c>
      <c r="I4" s="25" t="n">
        <f aca="false">IF(F4=0,E4/G4,PMT(F4/12,G4,-E4))</f>
        <v>120444.631238667</v>
      </c>
      <c r="J4" s="25" t="n">
        <f aca="false">I4*G4</f>
        <v>8672013.44918406</v>
      </c>
      <c r="K4" s="25" t="n">
        <f aca="false">J4-E4</f>
        <v>2672013.44918406</v>
      </c>
      <c r="L4" s="20" t="n">
        <v>5</v>
      </c>
      <c r="M4" s="26" t="n">
        <f aca="false">G4-L4</f>
        <v>67</v>
      </c>
      <c r="N4" s="25" t="n">
        <f aca="false">I4*L4</f>
        <v>602223.156193337</v>
      </c>
      <c r="O4" s="25" t="n">
        <f aca="false">IF(L4&gt;=G4,0,IF(F4=0,E4-I4*L4,FV(F4/12,L4,I4,-E4)))</f>
        <v>5716704.91842534</v>
      </c>
      <c r="P4" s="27" t="n">
        <f aca="false">EDATE(H4,G4)</f>
        <v>48380</v>
      </c>
    </row>
    <row r="5" customFormat="false" ht="15" hidden="false" customHeight="false" outlineLevel="0" collapsed="false">
      <c r="A5" s="28" t="s">
        <v>67</v>
      </c>
      <c r="B5" s="28"/>
      <c r="C5" s="28"/>
      <c r="D5" s="28"/>
      <c r="E5" s="29" t="n">
        <f aca="false">SUM(E2:E4)</f>
        <v>11000000</v>
      </c>
      <c r="F5" s="28"/>
      <c r="G5" s="28"/>
      <c r="H5" s="28"/>
      <c r="I5" s="29" t="n">
        <f aca="false">SUM(I2:I4)</f>
        <v>238869.019516278</v>
      </c>
      <c r="J5" s="29" t="n">
        <f aca="false">SUM(J2:J4)</f>
        <v>15157184.2031658</v>
      </c>
      <c r="K5" s="29" t="n">
        <f aca="false">SUM(K2:K4)</f>
        <v>4157184.20316585</v>
      </c>
      <c r="L5" s="28"/>
      <c r="M5" s="28"/>
      <c r="N5" s="29" t="n">
        <f aca="false">SUM(N2:N4)</f>
        <v>1683084.94852364</v>
      </c>
      <c r="O5" s="29" t="n">
        <f aca="false">SUM(O2:O4)</f>
        <v>10056810.5898143</v>
      </c>
      <c r="P5" s="28"/>
    </row>
    <row r="7" customFormat="false" ht="15" hidden="false" customHeight="false" outlineLevel="0" collapsed="false">
      <c r="A7" s="30" t="s">
        <v>90</v>
      </c>
    </row>
    <row r="8" customFormat="false" ht="15" hidden="false" customHeight="false" outlineLevel="0" collapsed="false">
      <c r="A8" s="30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7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16"/>
    <col collapsed="false" customWidth="true" hidden="false" outlineLevel="0" max="12" min="12" style="0" width="14"/>
    <col collapsed="false" customWidth="true" hidden="false" outlineLevel="0" max="13" min="13" style="0" width="13"/>
    <col collapsed="false" customWidth="true" hidden="false" outlineLevel="0" max="16" min="14" style="0" width="14"/>
    <col collapsed="false" customWidth="true" hidden="false" outlineLevel="0" max="17" min="17" style="0" width="16"/>
    <col collapsed="false" customWidth="true" hidden="false" outlineLevel="0" max="18" min="18" style="0" width="26"/>
  </cols>
  <sheetData>
    <row r="1" customFormat="false" ht="51.75" hidden="false" customHeight="true" outlineLevel="0" collapsed="false">
      <c r="A1" s="7" t="s">
        <v>40</v>
      </c>
      <c r="B1" s="7" t="s">
        <v>41</v>
      </c>
      <c r="C1" s="7" t="s">
        <v>92</v>
      </c>
      <c r="D1" s="7" t="s">
        <v>93</v>
      </c>
      <c r="E1" s="7" t="s">
        <v>94</v>
      </c>
      <c r="F1" s="7" t="s">
        <v>95</v>
      </c>
      <c r="G1" s="7" t="s">
        <v>96</v>
      </c>
      <c r="H1" s="7" t="s">
        <v>97</v>
      </c>
      <c r="I1" s="7" t="s">
        <v>98</v>
      </c>
      <c r="J1" s="7" t="s">
        <v>99</v>
      </c>
      <c r="K1" s="7" t="s">
        <v>100</v>
      </c>
      <c r="L1" s="7" t="s">
        <v>101</v>
      </c>
      <c r="M1" s="7" t="s">
        <v>102</v>
      </c>
      <c r="N1" s="7" t="s">
        <v>103</v>
      </c>
      <c r="O1" s="7" t="s">
        <v>104</v>
      </c>
      <c r="P1" s="7" t="s">
        <v>105</v>
      </c>
      <c r="Q1" s="7" t="s">
        <v>106</v>
      </c>
      <c r="R1" s="7" t="s">
        <v>107</v>
      </c>
    </row>
    <row r="2" customFormat="false" ht="15" hidden="false" customHeight="false" outlineLevel="0" collapsed="false">
      <c r="A2" s="20" t="s">
        <v>57</v>
      </c>
      <c r="B2" s="21" t="str">
        <f aca="false">INDEX(Vehicles!$B$2:$B$5,MATCH(A2,Vehicles!$A$2:$A$5,0))</f>
        <v>Toyota Axio</v>
      </c>
      <c r="C2" s="20" t="n">
        <v>2018</v>
      </c>
      <c r="D2" s="22" t="n">
        <v>4200000</v>
      </c>
      <c r="E2" s="24" t="n">
        <v>46011</v>
      </c>
      <c r="F2" s="22" t="n">
        <v>3800000</v>
      </c>
      <c r="G2" s="24" t="n">
        <v>46296</v>
      </c>
      <c r="H2" s="25" t="n">
        <f aca="false">D2-F2</f>
        <v>400000</v>
      </c>
      <c r="I2" s="31" t="n">
        <f aca="false">IF(D2=0,0,H2/D2)</f>
        <v>0.0952380952380952</v>
      </c>
      <c r="J2" s="32" t="n">
        <f aca="false">SUMIFS('Vehicle Loans'!$O$2:$O$200,'Vehicle Loans'!$B$2:$B$200,A2)</f>
        <v>2615687.95761578</v>
      </c>
      <c r="K2" s="25" t="n">
        <f aca="false">F2-J2</f>
        <v>1184312.04238422</v>
      </c>
      <c r="L2" s="32" t="n">
        <f aca="false">SUMIFS('Vehicle Loans'!$I$2:$I$200,'Vehicle Loans'!$B$2:$B$200,A2)</f>
        <v>66733.3430547053</v>
      </c>
      <c r="M2" s="32" t="n">
        <f aca="false">INDEX(Vehicles!$O$2:$O$5,MATCH(A2,Vehicles!$A$2:$A$5,0))</f>
        <v>2000</v>
      </c>
      <c r="N2" s="25" t="n">
        <f aca="false">(L2+M2)/$D$10</f>
        <v>3436.66715273527</v>
      </c>
      <c r="O2" s="25" t="n">
        <f aca="false">N2+F2*$D$11/$D$10</f>
        <v>5336.66715273527</v>
      </c>
      <c r="P2" s="32" t="n">
        <f aca="false">INDEX(Vehicles!$F$2:$F$5,MATCH(A2,Vehicles!$A$2:$A$5,0))</f>
        <v>8000</v>
      </c>
      <c r="Q2" s="25" t="n">
        <f aca="false">P2-O2</f>
        <v>2663.33284726473</v>
      </c>
      <c r="R2" s="26" t="str">
        <f aca="false">IF(P2&gt;=O2,"OK: covers cost + target",IF(P2&gt;=N2,"Covers cost, below target","BELOW BREAK-EVEN"))</f>
        <v>OK: covers cost + target</v>
      </c>
    </row>
    <row r="3" customFormat="false" ht="15" hidden="false" customHeight="false" outlineLevel="0" collapsed="false">
      <c r="A3" s="20" t="s">
        <v>61</v>
      </c>
      <c r="B3" s="21" t="str">
        <f aca="false">INDEX(Vehicles!$B$2:$B$5,MATCH(A3,Vehicles!$A$2:$A$5,0))</f>
        <v>Suzuki Wagon R</v>
      </c>
      <c r="C3" s="20" t="n">
        <v>2019</v>
      </c>
      <c r="D3" s="22" t="n">
        <v>3000000</v>
      </c>
      <c r="E3" s="24" t="n">
        <v>46078</v>
      </c>
      <c r="F3" s="22" t="n">
        <v>2700000</v>
      </c>
      <c r="G3" s="24" t="n">
        <v>46296</v>
      </c>
      <c r="H3" s="25" t="n">
        <f aca="false">D3-F3</f>
        <v>300000</v>
      </c>
      <c r="I3" s="31" t="n">
        <f aca="false">IF(D3=0,0,H3/D3)</f>
        <v>0.1</v>
      </c>
      <c r="J3" s="32" t="n">
        <f aca="false">SUMIFS('Vehicle Loans'!$O$2:$O$200,'Vehicle Loans'!$B$2:$B$200,A3)</f>
        <v>1724417.71377319</v>
      </c>
      <c r="K3" s="25" t="n">
        <f aca="false">F3-J3</f>
        <v>975582.286226811</v>
      </c>
      <c r="L3" s="32" t="n">
        <f aca="false">SUMIFS('Vehicle Loans'!$I$2:$I$200,'Vehicle Loans'!$B$2:$B$200,A3)</f>
        <v>51691.0452229056</v>
      </c>
      <c r="M3" s="32" t="n">
        <f aca="false">INDEX(Vehicles!$O$2:$O$5,MATCH(A3,Vehicles!$A$2:$A$5,0))</f>
        <v>3000</v>
      </c>
      <c r="N3" s="25" t="n">
        <f aca="false">(L3+M3)/$D$10</f>
        <v>2734.55226114528</v>
      </c>
      <c r="O3" s="25" t="n">
        <f aca="false">N3+F3*$D$11/$D$10</f>
        <v>4084.55226114528</v>
      </c>
      <c r="P3" s="32" t="n">
        <f aca="false">INDEX(Vehicles!$F$2:$F$5,MATCH(A3,Vehicles!$A$2:$A$5,0))</f>
        <v>5500</v>
      </c>
      <c r="Q3" s="25" t="n">
        <f aca="false">P3-O3</f>
        <v>1415.44773885472</v>
      </c>
      <c r="R3" s="26" t="str">
        <f aca="false">IF(P3&gt;=O3,"OK: covers cost + target",IF(P3&gt;=N3,"Covers cost, below target","BELOW BREAK-EVEN"))</f>
        <v>OK: covers cost + target</v>
      </c>
    </row>
    <row r="4" customFormat="false" ht="15" hidden="false" customHeight="false" outlineLevel="0" collapsed="false">
      <c r="A4" s="20" t="s">
        <v>64</v>
      </c>
      <c r="B4" s="21" t="str">
        <f aca="false">INDEX(Vehicles!$B$2:$B$5,MATCH(A4,Vehicles!$A$2:$A$5,0))</f>
        <v>Nissan Caravan</v>
      </c>
      <c r="C4" s="20" t="n">
        <v>2017</v>
      </c>
      <c r="D4" s="22" t="n">
        <v>8500000</v>
      </c>
      <c r="E4" s="24" t="n">
        <v>46170</v>
      </c>
      <c r="F4" s="22" t="n">
        <v>7600000</v>
      </c>
      <c r="G4" s="24" t="n">
        <v>46296</v>
      </c>
      <c r="H4" s="25" t="n">
        <f aca="false">D4-F4</f>
        <v>900000</v>
      </c>
      <c r="I4" s="31" t="n">
        <f aca="false">IF(D4=0,0,H4/D4)</f>
        <v>0.105882352941176</v>
      </c>
      <c r="J4" s="32" t="n">
        <f aca="false">SUMIFS('Vehicle Loans'!$O$2:$O$200,'Vehicle Loans'!$B$2:$B$200,A4)</f>
        <v>5716704.91842534</v>
      </c>
      <c r="K4" s="25" t="n">
        <f aca="false">F4-J4</f>
        <v>1883295.08157466</v>
      </c>
      <c r="L4" s="32" t="n">
        <f aca="false">SUMIFS('Vehicle Loans'!$I$2:$I$200,'Vehicle Loans'!$B$2:$B$200,A4)</f>
        <v>120444.631238667</v>
      </c>
      <c r="M4" s="32" t="n">
        <f aca="false">INDEX(Vehicles!$O$2:$O$5,MATCH(A4,Vehicles!$A$2:$A$5,0))</f>
        <v>5000</v>
      </c>
      <c r="N4" s="25" t="n">
        <f aca="false">(L4+M4)/$D$10</f>
        <v>6272.23156193337</v>
      </c>
      <c r="O4" s="25" t="n">
        <f aca="false">N4+F4*$D$11/$D$10</f>
        <v>10072.2315619334</v>
      </c>
      <c r="P4" s="32" t="n">
        <f aca="false">INDEX(Vehicles!$F$2:$F$5,MATCH(A4,Vehicles!$A$2:$A$5,0))</f>
        <v>12000</v>
      </c>
      <c r="Q4" s="25" t="n">
        <f aca="false">P4-O4</f>
        <v>1927.76843806663</v>
      </c>
      <c r="R4" s="26" t="str">
        <f aca="false">IF(P4&gt;=O4,"OK: covers cost + target",IF(P4&gt;=N4,"Covers cost, below target","BELOW BREAK-EVEN"))</f>
        <v>OK: covers cost + target</v>
      </c>
    </row>
    <row r="5" customFormat="false" ht="15" hidden="false" customHeight="false" outlineLevel="0" collapsed="false">
      <c r="A5" s="28" t="s">
        <v>67</v>
      </c>
      <c r="B5" s="28"/>
      <c r="C5" s="28"/>
      <c r="D5" s="29" t="n">
        <f aca="false">SUM(D2:D4)</f>
        <v>15700000</v>
      </c>
      <c r="E5" s="28"/>
      <c r="F5" s="29" t="n">
        <f aca="false">SUM(F2:F4)</f>
        <v>14100000</v>
      </c>
      <c r="G5" s="28"/>
      <c r="H5" s="29" t="n">
        <f aca="false">SUM(H2:H4)</f>
        <v>1600000</v>
      </c>
      <c r="I5" s="28"/>
      <c r="J5" s="29" t="n">
        <f aca="false">SUM(J2:J4)</f>
        <v>10056810.5898143</v>
      </c>
      <c r="K5" s="29" t="n">
        <f aca="false">SUM(K2:K4)</f>
        <v>4043189.41018569</v>
      </c>
      <c r="L5" s="29" t="n">
        <f aca="false">SUM(L2:L4)</f>
        <v>238869.019516278</v>
      </c>
      <c r="M5" s="29" t="n">
        <f aca="false">SUM(M2:M4)</f>
        <v>10000</v>
      </c>
      <c r="N5" s="28"/>
      <c r="O5" s="28"/>
      <c r="P5" s="28"/>
      <c r="Q5" s="28"/>
      <c r="R5" s="28"/>
    </row>
    <row r="8" customFormat="false" ht="15" hidden="false" customHeight="false" outlineLevel="0" collapsed="false">
      <c r="A8" s="6" t="s">
        <v>108</v>
      </c>
    </row>
    <row r="10" customFormat="false" ht="15" hidden="false" customHeight="false" outlineLevel="0" collapsed="false">
      <c r="A10" s="5" t="s">
        <v>109</v>
      </c>
      <c r="D10" s="33" t="n">
        <v>20</v>
      </c>
      <c r="F10" s="30" t="s">
        <v>110</v>
      </c>
    </row>
    <row r="11" customFormat="false" ht="15" hidden="false" customHeight="false" outlineLevel="0" collapsed="false">
      <c r="A11" s="5" t="s">
        <v>111</v>
      </c>
      <c r="D11" s="34" t="n">
        <v>0.01</v>
      </c>
      <c r="F11" s="30" t="s">
        <v>112</v>
      </c>
    </row>
    <row r="13" customFormat="false" ht="15" hidden="false" customHeight="false" outlineLevel="0" collapsed="false">
      <c r="A13" s="30" t="s">
        <v>113</v>
      </c>
    </row>
    <row r="14" customFormat="false" ht="15" hidden="false" customHeight="false" outlineLevel="0" collapsed="false">
      <c r="A14" s="30" t="s">
        <v>114</v>
      </c>
    </row>
    <row r="15" customFormat="false" ht="15" hidden="false" customHeight="false" outlineLevel="0" collapsed="false">
      <c r="A15" s="30" t="s">
        <v>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3" min="3" style="1" width="14"/>
    <col collapsed="false" customWidth="true" hidden="false" outlineLevel="0" max="4" min="4" style="1" width="18"/>
  </cols>
  <sheetData>
    <row r="1" customFormat="false" ht="48" hidden="false" customHeight="true" outlineLevel="0" collapsed="false">
      <c r="A1" s="7" t="s">
        <v>116</v>
      </c>
      <c r="B1" s="7" t="s">
        <v>117</v>
      </c>
      <c r="C1" s="7" t="s">
        <v>118</v>
      </c>
      <c r="D1" s="7" t="s">
        <v>26</v>
      </c>
    </row>
    <row r="2" customFormat="false" ht="15" hidden="false" customHeight="true" outlineLevel="0" collapsed="false">
      <c r="A2" s="8" t="s">
        <v>119</v>
      </c>
      <c r="B2" s="8" t="s">
        <v>120</v>
      </c>
      <c r="C2" s="8" t="s">
        <v>121</v>
      </c>
      <c r="D2" s="8" t="s">
        <v>122</v>
      </c>
    </row>
    <row r="3" customFormat="false" ht="15" hidden="false" customHeight="true" outlineLevel="0" collapsed="false">
      <c r="A3" s="8" t="s">
        <v>123</v>
      </c>
      <c r="B3" s="8" t="s">
        <v>124</v>
      </c>
      <c r="C3" s="8" t="s">
        <v>125</v>
      </c>
      <c r="D3" s="8" t="s">
        <v>126</v>
      </c>
    </row>
    <row r="4" customFormat="false" ht="15" hidden="false" customHeight="true" outlineLevel="0" collapsed="false">
      <c r="A4" s="8" t="s">
        <v>127</v>
      </c>
      <c r="B4" s="8" t="s">
        <v>128</v>
      </c>
      <c r="C4" s="8" t="s">
        <v>125</v>
      </c>
      <c r="D4" s="8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1"/>
    <col collapsed="false" customWidth="true" hidden="false" outlineLevel="0" max="3" min="3" style="1" width="20"/>
    <col collapsed="false" customWidth="true" hidden="false" outlineLevel="0" max="4" min="4" style="1" width="18"/>
    <col collapsed="false" customWidth="true" hidden="false" outlineLevel="0" max="5" min="5" style="1" width="16"/>
    <col collapsed="false" customWidth="true" hidden="false" outlineLevel="0" max="6" min="6" style="1" width="24"/>
    <col collapsed="false" customWidth="true" hidden="false" outlineLevel="0" max="7" min="7" style="1" width="26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6"/>
  </cols>
  <sheetData>
    <row r="1" customFormat="false" ht="39.75" hidden="false" customHeight="true" outlineLevel="0" collapsed="false">
      <c r="A1" s="7" t="s">
        <v>130</v>
      </c>
      <c r="B1" s="7" t="s">
        <v>116</v>
      </c>
      <c r="C1" s="7" t="s">
        <v>131</v>
      </c>
      <c r="D1" s="7" t="s">
        <v>132</v>
      </c>
      <c r="E1" s="7" t="s">
        <v>26</v>
      </c>
      <c r="F1" s="7" t="s">
        <v>133</v>
      </c>
      <c r="G1" s="7" t="s">
        <v>134</v>
      </c>
      <c r="H1" s="7" t="s">
        <v>135</v>
      </c>
      <c r="I1" s="7" t="s">
        <v>136</v>
      </c>
      <c r="J1" s="7" t="s">
        <v>137</v>
      </c>
      <c r="K1" s="7" t="s">
        <v>138</v>
      </c>
    </row>
    <row r="2" customFormat="false" ht="15" hidden="false" customHeight="true" outlineLevel="0" collapsed="false">
      <c r="A2" s="8" t="s">
        <v>139</v>
      </c>
      <c r="B2" s="8" t="s">
        <v>123</v>
      </c>
      <c r="C2" s="9" t="str">
        <f aca="false">INDEX(Renters!$B$2:$B$200,MATCH(B2,Renters!$A$2:$A$200,0))</f>
        <v>Kamal Ltd</v>
      </c>
      <c r="D2" s="8" t="s">
        <v>140</v>
      </c>
      <c r="E2" s="8" t="s">
        <v>126</v>
      </c>
      <c r="F2" s="8" t="s">
        <v>141</v>
      </c>
      <c r="G2" s="8" t="s">
        <v>142</v>
      </c>
      <c r="H2" s="8" t="n">
        <v>30</v>
      </c>
      <c r="I2" s="14" t="n">
        <f aca="false">SUMIFS('Renter Receipts'!$G$2:$G$200,'Renter Receipts'!$C$2:$C$200,C2)</f>
        <v>82500</v>
      </c>
      <c r="J2" s="14" t="n">
        <f aca="false">SUMIFS('Renter Receipts'!$H$2:$H$200,'Renter Receipts'!$C$2:$C$200,C2)</f>
        <v>82500</v>
      </c>
      <c r="K2" s="35" t="n">
        <f aca="false">I2-J2</f>
        <v>0</v>
      </c>
    </row>
    <row r="3" customFormat="false" ht="15" hidden="false" customHeight="true" outlineLevel="0" collapsed="false">
      <c r="A3" s="8" t="s">
        <v>143</v>
      </c>
      <c r="B3" s="8" t="s">
        <v>127</v>
      </c>
      <c r="C3" s="9" t="str">
        <f aca="false">INDEX(Renters!$B$2:$B$200,MATCH(B3,Renters!$A$2:$A$200,0))</f>
        <v>ABC Travels</v>
      </c>
      <c r="D3" s="8" t="s">
        <v>144</v>
      </c>
      <c r="E3" s="8" t="s">
        <v>129</v>
      </c>
      <c r="F3" s="8" t="s">
        <v>145</v>
      </c>
      <c r="G3" s="8" t="s">
        <v>146</v>
      </c>
      <c r="H3" s="8" t="n">
        <v>14</v>
      </c>
      <c r="I3" s="14" t="n">
        <f aca="false">SUMIFS('Renter Receipts'!$G$2:$G$200,'Renter Receipts'!$C$2:$C$200,C3)</f>
        <v>240000</v>
      </c>
      <c r="J3" s="14" t="n">
        <f aca="false">SUMIFS('Renter Receipts'!$H$2:$H$200,'Renter Receipts'!$C$2:$C$200,C3)</f>
        <v>100000</v>
      </c>
      <c r="K3" s="35" t="n">
        <f aca="false">I3-J3</f>
        <v>140000</v>
      </c>
    </row>
    <row r="5" customFormat="false" ht="15" hidden="false" customHeight="true" outlineLevel="0" collapsed="false">
      <c r="A5" s="16" t="s">
        <v>67</v>
      </c>
      <c r="B5" s="16"/>
      <c r="C5" s="16"/>
      <c r="D5" s="16"/>
      <c r="E5" s="16"/>
      <c r="F5" s="16"/>
      <c r="G5" s="16"/>
      <c r="H5" s="16"/>
      <c r="I5" s="18" t="n">
        <f aca="false">SUM(I2:I4)</f>
        <v>322500</v>
      </c>
      <c r="J5" s="18" t="n">
        <f aca="false">SUM(J2:J4)</f>
        <v>182500</v>
      </c>
      <c r="K5" s="18" t="n">
        <f aca="false">SUM(K2:K4)</f>
        <v>140000</v>
      </c>
    </row>
    <row r="7" customFormat="false" ht="15" hidden="false" customHeight="true" outlineLevel="0" collapsed="false">
      <c r="A7" s="19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1" width="12"/>
    <col collapsed="false" customWidth="true" hidden="false" outlineLevel="0" max="5" min="5" style="1" width="13"/>
  </cols>
  <sheetData>
    <row r="1" customFormat="false" ht="48" hidden="false" customHeight="true" outlineLevel="0" collapsed="false">
      <c r="A1" s="7" t="s">
        <v>148</v>
      </c>
      <c r="B1" s="7" t="s">
        <v>40</v>
      </c>
      <c r="C1" s="7" t="s">
        <v>116</v>
      </c>
      <c r="D1" s="7" t="s">
        <v>149</v>
      </c>
      <c r="E1" s="7" t="s">
        <v>150</v>
      </c>
    </row>
    <row r="2" customFormat="false" ht="15" hidden="false" customHeight="true" outlineLevel="0" collapsed="false">
      <c r="A2" s="8" t="s">
        <v>151</v>
      </c>
      <c r="B2" s="8" t="s">
        <v>57</v>
      </c>
      <c r="C2" s="8" t="s">
        <v>119</v>
      </c>
      <c r="D2" s="8" t="s">
        <v>152</v>
      </c>
      <c r="E2" s="8" t="n">
        <v>10</v>
      </c>
    </row>
    <row r="3" customFormat="false" ht="15" hidden="false" customHeight="true" outlineLevel="0" collapsed="false">
      <c r="A3" s="8" t="s">
        <v>153</v>
      </c>
      <c r="B3" s="8" t="s">
        <v>61</v>
      </c>
      <c r="C3" s="8" t="s">
        <v>123</v>
      </c>
      <c r="D3" s="8" t="s">
        <v>152</v>
      </c>
      <c r="E3" s="8" t="n">
        <v>15</v>
      </c>
    </row>
    <row r="4" customFormat="false" ht="15" hidden="false" customHeight="true" outlineLevel="0" collapsed="false">
      <c r="A4" s="8" t="s">
        <v>154</v>
      </c>
      <c r="B4" s="8" t="s">
        <v>64</v>
      </c>
      <c r="C4" s="8" t="s">
        <v>127</v>
      </c>
      <c r="D4" s="8" t="s">
        <v>152</v>
      </c>
      <c r="E4" s="8" t="n">
        <v>20</v>
      </c>
    </row>
    <row r="6" customFormat="false" ht="15" hidden="false" customHeight="true" outlineLevel="0" collapsed="false">
      <c r="A6" s="16" t="s">
        <v>67</v>
      </c>
      <c r="B6" s="16"/>
      <c r="C6" s="16"/>
      <c r="D6" s="16"/>
      <c r="E6" s="17" t="n">
        <f aca="false">SUM(E2:E5)</f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1" width="12"/>
    <col collapsed="false" customWidth="true" hidden="false" outlineLevel="0" max="4" min="4" style="1" width="28"/>
    <col collapsed="false" customWidth="true" hidden="false" outlineLevel="0" max="5" min="5" style="1" width="14"/>
  </cols>
  <sheetData>
    <row r="1" customFormat="false" ht="48" hidden="false" customHeight="true" outlineLevel="0" collapsed="false">
      <c r="A1" s="7" t="s">
        <v>155</v>
      </c>
      <c r="B1" s="7" t="s">
        <v>40</v>
      </c>
      <c r="C1" s="7" t="s">
        <v>149</v>
      </c>
      <c r="D1" s="7" t="s">
        <v>156</v>
      </c>
      <c r="E1" s="7" t="s">
        <v>157</v>
      </c>
    </row>
    <row r="2" customFormat="false" ht="15" hidden="false" customHeight="true" outlineLevel="0" collapsed="false">
      <c r="A2" s="8" t="s">
        <v>158</v>
      </c>
      <c r="B2" s="8" t="s">
        <v>57</v>
      </c>
      <c r="C2" s="8" t="s">
        <v>152</v>
      </c>
      <c r="D2" s="8" t="s">
        <v>59</v>
      </c>
      <c r="E2" s="10" t="n">
        <v>2000</v>
      </c>
    </row>
    <row r="3" customFormat="false" ht="15" hidden="false" customHeight="true" outlineLevel="0" collapsed="false">
      <c r="A3" s="8" t="s">
        <v>159</v>
      </c>
      <c r="B3" s="8" t="s">
        <v>61</v>
      </c>
      <c r="C3" s="8" t="s">
        <v>152</v>
      </c>
      <c r="D3" s="8" t="s">
        <v>63</v>
      </c>
      <c r="E3" s="10" t="n">
        <v>3000</v>
      </c>
    </row>
    <row r="4" customFormat="false" ht="15" hidden="false" customHeight="true" outlineLevel="0" collapsed="false">
      <c r="A4" s="8" t="s">
        <v>160</v>
      </c>
      <c r="B4" s="8" t="s">
        <v>64</v>
      </c>
      <c r="C4" s="8" t="s">
        <v>152</v>
      </c>
      <c r="D4" s="8" t="s">
        <v>66</v>
      </c>
      <c r="E4" s="10" t="n">
        <v>5000</v>
      </c>
    </row>
    <row r="6" customFormat="false" ht="15" hidden="false" customHeight="true" outlineLevel="0" collapsed="false">
      <c r="A6" s="16" t="s">
        <v>67</v>
      </c>
      <c r="B6" s="16"/>
      <c r="C6" s="16"/>
      <c r="D6" s="16"/>
      <c r="E6" s="18" t="n">
        <f aca="false">SUM(E2:E5)</f>
        <v>10000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1"/>
    <col collapsed="false" customWidth="true" hidden="false" outlineLevel="0" max="3" min="3" style="1" width="18"/>
    <col collapsed="false" customWidth="true" hidden="false" outlineLevel="0" max="4" min="4" style="1" width="12"/>
    <col collapsed="false" customWidth="true" hidden="false" outlineLevel="0" max="5" min="5" style="1" width="8"/>
    <col collapsed="false" customWidth="true" hidden="false" outlineLevel="0" max="6" min="6" style="1" width="15"/>
    <col collapsed="false" customWidth="true" hidden="false" outlineLevel="0" max="7" min="7" style="1" width="14"/>
    <col collapsed="false" customWidth="true" hidden="false" outlineLevel="0" max="8" min="8" style="1" width="15"/>
    <col collapsed="false" customWidth="true" hidden="false" outlineLevel="0" max="11" min="9" style="1" width="14"/>
  </cols>
  <sheetData>
    <row r="1" customFormat="false" ht="48" hidden="false" customHeight="true" outlineLevel="0" collapsed="false">
      <c r="A1" s="7" t="s">
        <v>148</v>
      </c>
      <c r="B1" s="7" t="s">
        <v>40</v>
      </c>
      <c r="C1" s="7" t="s">
        <v>161</v>
      </c>
      <c r="D1" s="7" t="s">
        <v>149</v>
      </c>
      <c r="E1" s="7" t="s">
        <v>162</v>
      </c>
      <c r="F1" s="7" t="s">
        <v>42</v>
      </c>
      <c r="G1" s="7" t="s">
        <v>163</v>
      </c>
      <c r="H1" s="7" t="s">
        <v>164</v>
      </c>
      <c r="I1" s="7" t="s">
        <v>165</v>
      </c>
      <c r="J1" s="7" t="s">
        <v>166</v>
      </c>
      <c r="K1" s="7" t="s">
        <v>167</v>
      </c>
    </row>
    <row r="2" customFormat="false" ht="15" hidden="false" customHeight="true" outlineLevel="0" collapsed="false">
      <c r="A2" s="9" t="str">
        <f aca="false">Rentals!A2</f>
        <v>RT01</v>
      </c>
      <c r="B2" s="9" t="str">
        <f aca="false">Rentals!B2</f>
        <v>V001</v>
      </c>
      <c r="C2" s="9" t="str">
        <f aca="false">INDEX(Vehicles!$D$2:$D$5,MATCH(B2,Vehicles!$A$2:$A$5,0))</f>
        <v>Mr. Perera</v>
      </c>
      <c r="D2" s="9" t="str">
        <f aca="false">Rentals!D2</f>
        <v>Oct 2026</v>
      </c>
      <c r="E2" s="9" t="n">
        <f aca="false">Rentals!E2</f>
        <v>10</v>
      </c>
      <c r="F2" s="14" t="n">
        <f aca="false">INDEX(Vehicles!$E$2:$E$5,MATCH(B2,Vehicles!$A$2:$A$5,0))</f>
        <v>6000</v>
      </c>
      <c r="G2" s="35" t="n">
        <f aca="false">E2*F2</f>
        <v>60000</v>
      </c>
      <c r="H2" s="35" t="n">
        <f aca="false">IF(INDEX(Vehicles!$P$2:$P$5,MATCH(B2,Vehicles!$A$2:$A$5,0))="Owner (deducted)",SUMIFS(Maintenance!$E$2:$E$200,Maintenance!$B$2:$B$200,B2,Maintenance!$C$2:$C$200,D2),0)</f>
        <v>2000</v>
      </c>
      <c r="I2" s="35" t="n">
        <f aca="false">G2-H2</f>
        <v>58000</v>
      </c>
      <c r="J2" s="10" t="n">
        <v>58000</v>
      </c>
      <c r="K2" s="35" t="n">
        <f aca="false">I2-J2</f>
        <v>0</v>
      </c>
    </row>
    <row r="3" customFormat="false" ht="15" hidden="false" customHeight="true" outlineLevel="0" collapsed="false">
      <c r="A3" s="9" t="str">
        <f aca="false">Rentals!A3</f>
        <v>RT02</v>
      </c>
      <c r="B3" s="9" t="str">
        <f aca="false">Rentals!B3</f>
        <v>V002</v>
      </c>
      <c r="C3" s="9" t="str">
        <f aca="false">INDEX(Vehicles!$D$2:$D$5,MATCH(B3,Vehicles!$A$2:$A$5,0))</f>
        <v>Mrs. Silva</v>
      </c>
      <c r="D3" s="9" t="str">
        <f aca="false">Rentals!D3</f>
        <v>Oct 2026</v>
      </c>
      <c r="E3" s="9" t="n">
        <f aca="false">Rentals!E3</f>
        <v>15</v>
      </c>
      <c r="F3" s="14" t="n">
        <f aca="false">INDEX(Vehicles!$E$2:$E$5,MATCH(B3,Vehicles!$A$2:$A$5,0))</f>
        <v>4000</v>
      </c>
      <c r="G3" s="35" t="n">
        <f aca="false">E3*F3</f>
        <v>60000</v>
      </c>
      <c r="H3" s="35" t="n">
        <f aca="false">IF(INDEX(Vehicles!$P$2:$P$5,MATCH(B3,Vehicles!$A$2:$A$5,0))="Owner (deducted)",SUMIFS(Maintenance!$E$2:$E$200,Maintenance!$B$2:$B$200,B3,Maintenance!$C$2:$C$200,D3),0)</f>
        <v>3000</v>
      </c>
      <c r="I3" s="35" t="n">
        <f aca="false">G3-H3</f>
        <v>57000</v>
      </c>
      <c r="J3" s="10" t="n">
        <v>30000</v>
      </c>
      <c r="K3" s="35" t="n">
        <f aca="false">I3-J3</f>
        <v>27000</v>
      </c>
    </row>
    <row r="4" customFormat="false" ht="15" hidden="false" customHeight="true" outlineLevel="0" collapsed="false">
      <c r="A4" s="9" t="str">
        <f aca="false">Rentals!A4</f>
        <v>RT03</v>
      </c>
      <c r="B4" s="9" t="str">
        <f aca="false">Rentals!B4</f>
        <v>V003</v>
      </c>
      <c r="C4" s="9" t="str">
        <f aca="false">INDEX(Vehicles!$D$2:$D$5,MATCH(B4,Vehicles!$A$2:$A$5,0))</f>
        <v>Mr. Fernando</v>
      </c>
      <c r="D4" s="9" t="str">
        <f aca="false">Rentals!D4</f>
        <v>Oct 2026</v>
      </c>
      <c r="E4" s="9" t="n">
        <f aca="false">Rentals!E4</f>
        <v>20</v>
      </c>
      <c r="F4" s="14" t="n">
        <f aca="false">INDEX(Vehicles!$E$2:$E$5,MATCH(B4,Vehicles!$A$2:$A$5,0))</f>
        <v>9000</v>
      </c>
      <c r="G4" s="35" t="n">
        <f aca="false">E4*F4</f>
        <v>180000</v>
      </c>
      <c r="H4" s="35" t="n">
        <f aca="false">IF(INDEX(Vehicles!$P$2:$P$5,MATCH(B4,Vehicles!$A$2:$A$5,0))="Owner (deducted)",SUMIFS(Maintenance!$E$2:$E$200,Maintenance!$B$2:$B$200,B4,Maintenance!$C$2:$C$200,D4),0)</f>
        <v>5000</v>
      </c>
      <c r="I4" s="35" t="n">
        <f aca="false">G4-H4</f>
        <v>175000</v>
      </c>
      <c r="J4" s="10" t="n">
        <v>0</v>
      </c>
      <c r="K4" s="35" t="n">
        <f aca="false">I4-J4</f>
        <v>175000</v>
      </c>
    </row>
    <row r="5" customFormat="false" ht="15" hidden="false" customHeight="true" outlineLevel="0" collapsed="false">
      <c r="A5" s="16" t="s">
        <v>67</v>
      </c>
      <c r="B5" s="16"/>
      <c r="C5" s="16"/>
      <c r="D5" s="16"/>
      <c r="E5" s="17" t="n">
        <f aca="false">SUM(E2:E4)</f>
        <v>45</v>
      </c>
      <c r="F5" s="16"/>
      <c r="G5" s="18" t="n">
        <f aca="false">SUM(G2:G4)</f>
        <v>300000</v>
      </c>
      <c r="H5" s="18" t="n">
        <f aca="false">SUM(H2:H4)</f>
        <v>10000</v>
      </c>
      <c r="I5" s="18" t="n">
        <f aca="false">SUM(I2:I4)</f>
        <v>290000</v>
      </c>
      <c r="J5" s="18" t="n">
        <f aca="false">SUM(J2:J4)</f>
        <v>88000</v>
      </c>
      <c r="K5" s="18" t="n">
        <f aca="false">SUM(K2:K4)</f>
        <v>202000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1"/>
    <col collapsed="false" customWidth="true" hidden="false" outlineLevel="0" max="3" min="3" style="1" width="18"/>
    <col collapsed="false" customWidth="true" hidden="false" outlineLevel="0" max="4" min="4" style="1" width="12"/>
    <col collapsed="false" customWidth="true" hidden="false" outlineLevel="0" max="5" min="5" style="1" width="8"/>
    <col collapsed="false" customWidth="true" hidden="false" outlineLevel="0" max="6" min="6" style="1" width="16"/>
    <col collapsed="false" customWidth="true" hidden="false" outlineLevel="0" max="8" min="7" style="1" width="14"/>
    <col collapsed="false" customWidth="true" hidden="false" outlineLevel="0" max="9" min="9" style="1" width="16"/>
  </cols>
  <sheetData>
    <row r="1" customFormat="false" ht="48" hidden="false" customHeight="true" outlineLevel="0" collapsed="false">
      <c r="A1" s="7" t="s">
        <v>148</v>
      </c>
      <c r="B1" s="7" t="s">
        <v>40</v>
      </c>
      <c r="C1" s="7" t="s">
        <v>168</v>
      </c>
      <c r="D1" s="7" t="s">
        <v>149</v>
      </c>
      <c r="E1" s="7" t="s">
        <v>162</v>
      </c>
      <c r="F1" s="7" t="s">
        <v>43</v>
      </c>
      <c r="G1" s="7" t="s">
        <v>136</v>
      </c>
      <c r="H1" s="7" t="s">
        <v>137</v>
      </c>
      <c r="I1" s="7" t="s">
        <v>138</v>
      </c>
    </row>
    <row r="2" customFormat="false" ht="15" hidden="false" customHeight="true" outlineLevel="0" collapsed="false">
      <c r="A2" s="9" t="str">
        <f aca="false">Rentals!A2</f>
        <v>RT01</v>
      </c>
      <c r="B2" s="9" t="str">
        <f aca="false">Rentals!B2</f>
        <v>V001</v>
      </c>
      <c r="C2" s="9" t="str">
        <f aca="false">INDEX(Renters!$B$2:$B$200,MATCH(Rentals!C2,Renters!$A$2:$A$200,0))</f>
        <v>Nimal</v>
      </c>
      <c r="D2" s="9" t="str">
        <f aca="false">Rentals!D2</f>
        <v>Oct 2026</v>
      </c>
      <c r="E2" s="9" t="n">
        <f aca="false">Rentals!E2</f>
        <v>10</v>
      </c>
      <c r="F2" s="14" t="n">
        <f aca="false">INDEX(Vehicles!$F$2:$F$5,MATCH(B2,Vehicles!$A$2:$A$5,0))</f>
        <v>8000</v>
      </c>
      <c r="G2" s="35" t="n">
        <f aca="false">E2*F2</f>
        <v>80000</v>
      </c>
      <c r="H2" s="10" t="n">
        <v>50000</v>
      </c>
      <c r="I2" s="35" t="n">
        <f aca="false">G2-H2</f>
        <v>30000</v>
      </c>
    </row>
    <row r="3" customFormat="false" ht="15" hidden="false" customHeight="true" outlineLevel="0" collapsed="false">
      <c r="A3" s="9" t="str">
        <f aca="false">Rentals!A3</f>
        <v>RT02</v>
      </c>
      <c r="B3" s="9" t="str">
        <f aca="false">Rentals!B3</f>
        <v>V002</v>
      </c>
      <c r="C3" s="9" t="str">
        <f aca="false">INDEX(Renters!$B$2:$B$200,MATCH(Rentals!C3,Renters!$A$2:$A$200,0))</f>
        <v>Kamal Ltd</v>
      </c>
      <c r="D3" s="9" t="str">
        <f aca="false">Rentals!D3</f>
        <v>Oct 2026</v>
      </c>
      <c r="E3" s="9" t="n">
        <f aca="false">Rentals!E3</f>
        <v>15</v>
      </c>
      <c r="F3" s="14" t="n">
        <f aca="false">INDEX(Vehicles!$F$2:$F$5,MATCH(B3,Vehicles!$A$2:$A$5,0))</f>
        <v>5500</v>
      </c>
      <c r="G3" s="35" t="n">
        <f aca="false">E3*F3</f>
        <v>82500</v>
      </c>
      <c r="H3" s="10" t="n">
        <v>82500</v>
      </c>
      <c r="I3" s="35" t="n">
        <f aca="false">G3-H3</f>
        <v>0</v>
      </c>
    </row>
    <row r="4" customFormat="false" ht="15" hidden="false" customHeight="true" outlineLevel="0" collapsed="false">
      <c r="A4" s="9" t="str">
        <f aca="false">Rentals!A4</f>
        <v>RT03</v>
      </c>
      <c r="B4" s="9" t="str">
        <f aca="false">Rentals!B4</f>
        <v>V003</v>
      </c>
      <c r="C4" s="9" t="str">
        <f aca="false">INDEX(Renters!$B$2:$B$200,MATCH(Rentals!C4,Renters!$A$2:$A$200,0))</f>
        <v>ABC Travels</v>
      </c>
      <c r="D4" s="9" t="str">
        <f aca="false">Rentals!D4</f>
        <v>Oct 2026</v>
      </c>
      <c r="E4" s="9" t="n">
        <f aca="false">Rentals!E4</f>
        <v>20</v>
      </c>
      <c r="F4" s="14" t="n">
        <f aca="false">INDEX(Vehicles!$F$2:$F$5,MATCH(B4,Vehicles!$A$2:$A$5,0))</f>
        <v>12000</v>
      </c>
      <c r="G4" s="35" t="n">
        <f aca="false">E4*F4</f>
        <v>240000</v>
      </c>
      <c r="H4" s="10" t="n">
        <v>100000</v>
      </c>
      <c r="I4" s="35" t="n">
        <f aca="false">G4-H4</f>
        <v>140000</v>
      </c>
    </row>
    <row r="5" customFormat="false" ht="15" hidden="false" customHeight="true" outlineLevel="0" collapsed="false">
      <c r="A5" s="16" t="s">
        <v>67</v>
      </c>
      <c r="B5" s="16"/>
      <c r="C5" s="16"/>
      <c r="D5" s="16"/>
      <c r="E5" s="17" t="n">
        <f aca="false">SUM(E2:E4)</f>
        <v>45</v>
      </c>
      <c r="F5" s="16"/>
      <c r="G5" s="18" t="n">
        <f aca="false">SUM(G2:G4)</f>
        <v>402500</v>
      </c>
      <c r="H5" s="18" t="n">
        <f aca="false">SUM(H2:H4)</f>
        <v>232500</v>
      </c>
      <c r="I5" s="18" t="n">
        <f aca="false">SUM(I2:I4)</f>
        <v>170000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5"/>
    <col collapsed="false" customWidth="true" hidden="false" outlineLevel="0" max="7" min="7" style="1" width="16"/>
    <col collapsed="false" customWidth="true" hidden="false" outlineLevel="0" max="8" min="8" style="1" width="20"/>
    <col collapsed="false" customWidth="true" hidden="false" outlineLevel="0" max="9" min="9" style="1" width="22"/>
  </cols>
  <sheetData>
    <row r="1" customFormat="false" ht="48" hidden="false" customHeight="true" outlineLevel="0" collapsed="false">
      <c r="A1" s="7" t="s">
        <v>149</v>
      </c>
      <c r="B1" s="7" t="s">
        <v>136</v>
      </c>
      <c r="C1" s="7" t="s">
        <v>169</v>
      </c>
      <c r="D1" s="7" t="s">
        <v>170</v>
      </c>
      <c r="E1" s="7" t="s">
        <v>171</v>
      </c>
      <c r="F1" s="7" t="s">
        <v>172</v>
      </c>
      <c r="G1" s="7" t="s">
        <v>173</v>
      </c>
      <c r="H1" s="7" t="s">
        <v>174</v>
      </c>
      <c r="I1" s="7" t="s">
        <v>175</v>
      </c>
    </row>
    <row r="2" customFormat="false" ht="15" hidden="false" customHeight="true" outlineLevel="0" collapsed="false">
      <c r="A2" s="8" t="s">
        <v>152</v>
      </c>
      <c r="B2" s="14" t="n">
        <f aca="false">SUMIFS('Renter Receipts'!$G$2:$G$200,'Renter Receipts'!$D$2:$D$200,A2)</f>
        <v>402500</v>
      </c>
      <c r="C2" s="14" t="n">
        <f aca="false">SUMIFS('Renter Receipts'!$H$2:$H$200,'Renter Receipts'!$D$2:$D$200,A2)</f>
        <v>232500</v>
      </c>
      <c r="D2" s="35" t="n">
        <f aca="false">B2-C2</f>
        <v>170000</v>
      </c>
      <c r="E2" s="14" t="n">
        <f aca="false">SUMIFS('Owner Payments'!$I$2:$I$200,'Owner Payments'!$D$2:$D$200,A2)</f>
        <v>290000</v>
      </c>
      <c r="F2" s="14" t="n">
        <f aca="false">SUMIFS('Owner Payments'!$J$2:$J$200,'Owner Payments'!$D$2:$D$200,A2)</f>
        <v>88000</v>
      </c>
      <c r="G2" s="35" t="n">
        <f aca="false">E2-F2</f>
        <v>202000</v>
      </c>
      <c r="H2" s="35" t="n">
        <f aca="false">B2-E2</f>
        <v>112500</v>
      </c>
      <c r="I2" s="35" t="n">
        <f aca="false">C2-F2</f>
        <v>144500</v>
      </c>
    </row>
    <row r="3" customFormat="false" ht="15" hidden="false" customHeight="true" outlineLevel="0" collapsed="false">
      <c r="A3" s="8" t="s">
        <v>176</v>
      </c>
      <c r="B3" s="14" t="n">
        <f aca="false">SUMIFS('Renter Receipts'!$G$2:$G$200,'Renter Receipts'!$D$2:$D$200,A3)</f>
        <v>0</v>
      </c>
      <c r="C3" s="14" t="n">
        <f aca="false">SUMIFS('Renter Receipts'!$H$2:$H$200,'Renter Receipts'!$D$2:$D$200,A3)</f>
        <v>0</v>
      </c>
      <c r="D3" s="35" t="n">
        <f aca="false">B3-C3</f>
        <v>0</v>
      </c>
      <c r="E3" s="14" t="n">
        <f aca="false">SUMIFS('Owner Payments'!$I$2:$I$200,'Owner Payments'!$D$2:$D$200,A3)</f>
        <v>0</v>
      </c>
      <c r="F3" s="14" t="n">
        <f aca="false">SUMIFS('Owner Payments'!$J$2:$J$200,'Owner Payments'!$D$2:$D$200,A3)</f>
        <v>0</v>
      </c>
      <c r="G3" s="35" t="n">
        <f aca="false">E3-F3</f>
        <v>0</v>
      </c>
      <c r="H3" s="35" t="n">
        <f aca="false">B3-E3</f>
        <v>0</v>
      </c>
      <c r="I3" s="35" t="n">
        <f aca="false">C3-F3</f>
        <v>0</v>
      </c>
    </row>
    <row r="4" customFormat="false" ht="15" hidden="false" customHeight="true" outlineLevel="0" collapsed="false">
      <c r="A4" s="8" t="s">
        <v>177</v>
      </c>
      <c r="B4" s="14" t="n">
        <f aca="false">SUMIFS('Renter Receipts'!$G$2:$G$200,'Renter Receipts'!$D$2:$D$200,A4)</f>
        <v>0</v>
      </c>
      <c r="C4" s="14" t="n">
        <f aca="false">SUMIFS('Renter Receipts'!$H$2:$H$200,'Renter Receipts'!$D$2:$D$200,A4)</f>
        <v>0</v>
      </c>
      <c r="D4" s="35" t="n">
        <f aca="false">B4-C4</f>
        <v>0</v>
      </c>
      <c r="E4" s="14" t="n">
        <f aca="false">SUMIFS('Owner Payments'!$I$2:$I$200,'Owner Payments'!$D$2:$D$200,A4)</f>
        <v>0</v>
      </c>
      <c r="F4" s="14" t="n">
        <f aca="false">SUMIFS('Owner Payments'!$J$2:$J$200,'Owner Payments'!$D$2:$D$200,A4)</f>
        <v>0</v>
      </c>
      <c r="G4" s="35" t="n">
        <f aca="false">E4-F4</f>
        <v>0</v>
      </c>
      <c r="H4" s="35" t="n">
        <f aca="false">B4-E4</f>
        <v>0</v>
      </c>
      <c r="I4" s="35" t="n">
        <f aca="false">C4-F4</f>
        <v>0</v>
      </c>
    </row>
    <row r="5" customFormat="false" ht="15" hidden="false" customHeight="true" outlineLevel="0" collapsed="false">
      <c r="A5" s="16" t="s">
        <v>67</v>
      </c>
      <c r="B5" s="18" t="n">
        <f aca="false">SUM(B2:B4)</f>
        <v>402500</v>
      </c>
      <c r="C5" s="18" t="n">
        <f aca="false">SUM(C2:C4)</f>
        <v>232500</v>
      </c>
      <c r="D5" s="18" t="n">
        <f aca="false">SUM(D2:D4)</f>
        <v>170000</v>
      </c>
      <c r="E5" s="18" t="n">
        <f aca="false">SUM(E2:E4)</f>
        <v>290000</v>
      </c>
      <c r="F5" s="18" t="n">
        <f aca="false">SUM(F2:F4)</f>
        <v>88000</v>
      </c>
      <c r="G5" s="18" t="n">
        <f aca="false">SUM(G2:G4)</f>
        <v>202000</v>
      </c>
      <c r="H5" s="18" t="n">
        <f aca="false">SUM(H2:H4)</f>
        <v>112500</v>
      </c>
      <c r="I5" s="18" t="n">
        <f aca="false">SUM(I2:I4)</f>
        <v>144500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2026-10-25T05:27:04Z</dcterms:created>
  <dc:creator>openpyxl</dc:creator>
  <dc:description/>
  <dc:language>en-US</dc:language>
  <cp:lastModifiedBy/>
  <dcterms:modified xsi:type="dcterms:W3CDTF">2026-10-25T05:48:43Z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